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URL map" sheetId="2" state="visible" r:id="rId4"/>
    <sheet name="Changes" sheetId="3" state="visible" r:id="rId5"/>
  </sheets>
  <definedNames>
    <definedName function="false" hidden="true" localSheetId="1" name="_xlnm._FilterDatabase" vbProcedure="false">'URL map'!$A$1:$N$91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<sst xmlns="http://schemas.openxmlformats.org/spreadsheetml/2006/main" count="649" uniqueCount="288">
  <si>
    <t xml:space="preserve">anthonyis.uk redirect map</t>
  </si>
  <si>
    <t xml:space="preserve">What this is</t>
  </si>
  <si>
    <t xml:space="preserve">Every URL on the current site, what happens to it on the new site, and why. Source: the live WordPress sitemaps, 16 Oct 2026, plus URLs WordPress serves outside the sitemap. Rows found since are dated in the Added column, and the Changes tab lists every change.</t>
  </si>
  <si>
    <t xml:space="preserve">How we work through it</t>
  </si>
  <si>
    <t xml:space="preserve">I've proposed an action for every row. You only touch the yellow columns on the URL map tab. Leave 'Your decision' blank to accept my proposal. Pick Keep, 301, 410 or 404 to override. Add 'Your new URL' to change the destination.</t>
  </si>
  <si>
    <t xml:space="preserve">What happens next</t>
  </si>
  <si>
    <t xml:space="preserve">1. You settle every 'Decide' row.  2. The Final columns become the site's redirect file (public/_redirects).  3. A test checks every row against the preview site, in one hop, before launch.</t>
  </si>
  <si>
    <t xml:space="preserve">Rules for the move</t>
  </si>
  <si>
    <t xml:space="preserve">1. Same URL wherever possible</t>
  </si>
  <si>
    <t xml:space="preserve">Every change costs some ranking. The new platform can match any slug, so most rows are Keep.</t>
  </si>
  <si>
    <t xml:space="preserve">2. One hop only</t>
  </si>
  <si>
    <t xml:space="preserve">Every old URL goes straight to its final URL. No chains, including the existing /shopify-expert-uk/ redirect.</t>
  </si>
  <si>
    <t xml:space="preserve">3. Closest relevant page</t>
  </si>
  <si>
    <t xml:space="preserve">Never send removed pages to the homepage. Google treats that as a soft 404.</t>
  </si>
  <si>
    <t xml:space="preserve">4. 410 for deliberate removals</t>
  </si>
  <si>
    <t xml:space="preserve">Tells Google the page is gone on purpose. Faster than a 404.</t>
  </si>
  <si>
    <t xml:space="preserve">5. No other changes during the move</t>
  </si>
  <si>
    <t xml:space="preserve">No slug, title, H1 or meta changes in the same release. Do those later, one at a time.</t>
  </si>
  <si>
    <t xml:space="preserve">6. Match today's format</t>
  </si>
  <si>
    <t xml:space="preserve">https, no www, trailing slash on every page.</t>
  </si>
  <si>
    <t xml:space="preserve">Status</t>
  </si>
  <si>
    <t xml:space="preserve">Total rows</t>
  </si>
  <si>
    <t xml:space="preserve">Final action: Keep</t>
  </si>
  <si>
    <t xml:space="preserve">Final action: 301</t>
  </si>
  <si>
    <t xml:space="preserve">Final action: 410</t>
  </si>
  <si>
    <t xml:space="preserve">Final action: 404</t>
  </si>
  <si>
    <t xml:space="preserve">Final action: Decide</t>
  </si>
  <si>
    <t xml:space="preserve">#</t>
  </si>
  <si>
    <t xml:space="preserve">Section</t>
  </si>
  <si>
    <t xml:space="preserve">Current URL</t>
  </si>
  <si>
    <t xml:space="preserve">What it is</t>
  </si>
  <si>
    <t xml:space="preserve">Proposed action</t>
  </si>
  <si>
    <t xml:space="preserve">Proposed new URL</t>
  </si>
  <si>
    <t xml:space="preserve">Why</t>
  </si>
  <si>
    <t xml:space="preserve">Your decision</t>
  </si>
  <si>
    <t xml:space="preserve">Your new URL (optional)</t>
  </si>
  <si>
    <t xml:space="preserve">Final action</t>
  </si>
  <si>
    <t xml:space="preserve">Final URL</t>
  </si>
  <si>
    <t xml:space="preserve">GSC clicks (16 mo)</t>
  </si>
  <si>
    <t xml:space="preserve">Referring domains</t>
  </si>
  <si>
    <t xml:space="preserve">Added</t>
  </si>
  <si>
    <t xml:space="preserve">Page</t>
  </si>
  <si>
    <t xml:space="preserve">/</t>
  </si>
  <si>
    <t xml:space="preserve">Homepage</t>
  </si>
  <si>
    <t xml:space="preserve">Keep</t>
  </si>
  <si>
    <t xml:space="preserve">Main ranking page and AI shopfront. Never moves.</t>
  </si>
  <si>
    <t xml:space="preserve">16 Oct 2026</t>
  </si>
  <si>
    <t xml:space="preserve">/shopify-website-design/</t>
  </si>
  <si>
    <t xml:space="preserve">Services hub</t>
  </si>
  <si>
    <t xml:space="preserve">Keep. New site drops the canonical to the homepage so it can index on its own.</t>
  </si>
  <si>
    <t xml:space="preserve">/shopify-website-design/bespoke-shopify-store-builds/</t>
  </si>
  <si>
    <t xml:space="preserve">Service: Bespoke store design</t>
  </si>
  <si>
    <t xml:space="preserve">Slug says 'builds' while the service is design. Still keep it: renaming a ranking page costs more than it gains. Revisit after launch.</t>
  </si>
  <si>
    <t xml:space="preserve">/shopify-website-design/shopify-theme-customisation/</t>
  </si>
  <si>
    <t xml:space="preserve">Service: Theme customisations</t>
  </si>
  <si>
    <t xml:space="preserve">/shopify-website-design/shopify-migration/</t>
  </si>
  <si>
    <t xml:space="preserve">Service: Migrations</t>
  </si>
  <si>
    <t xml:space="preserve">Internal link target in case studies.</t>
  </si>
  <si>
    <t xml:space="preserve">/shopify-website-design/shopify-conversion-rate-optimisation/</t>
  </si>
  <si>
    <t xml:space="preserve">Service: Shopify CRO</t>
  </si>
  <si>
    <t xml:space="preserve">/shopify-website-design/shopify-subscriptions/</t>
  </si>
  <si>
    <t xml:space="preserve">Service: Subscriptions</t>
  </si>
  <si>
    <t xml:space="preserve">/shopify-website-design/shopify-ai-search-design/</t>
  </si>
  <si>
    <t xml:space="preserve">AI search design page</t>
  </si>
  <si>
    <t xml:space="preserve">Slug already agreed.</t>
  </si>
  <si>
    <t xml:space="preserve">/shopify-website-design/shopify-design-for-dtc-brands/</t>
  </si>
  <si>
    <t xml:space="preserve">DTC brands page</t>
  </si>
  <si>
    <t xml:space="preserve">Decide</t>
  </si>
  <si>
    <t xml:space="preserve">Not one of the eight services, and not on the new site. Keep as an audience landing page, or 301 to the hub. Check its clicks first. 23 Oct: five articles link to it (Shopify UX review, product card design, agentic storefronts, how to design a Shopify website, what DTC brands should look for). Once decided, those links get pointed at the final URL so none hops.</t>
  </si>
  <si>
    <t xml:space="preserve">/freelance-brand-designer/</t>
  </si>
  <si>
    <t xml:space="preserve">Brand designer page</t>
  </si>
  <si>
    <t xml:space="preserve">/shopify-website-design/shopify-branding/</t>
  </si>
  <si>
    <t xml:space="preserve">Maps to the Branding service. Either this URL becomes the Branding page, or 301 it to a new page under the hub. New URL is a placeholder.</t>
  </si>
  <si>
    <t xml:space="preserve">/freelance-ux-ui-designer/</t>
  </si>
  <si>
    <t xml:space="preserve">UX/UI designer page</t>
  </si>
  <si>
    <t xml:space="preserve">/shopify-website-design/shopify-ux-design/</t>
  </si>
  <si>
    <t xml:space="preserve">Maps to the UX design service. Protect 'Shopify UX designer' rankings. New URL is a placeholder.</t>
  </si>
  <si>
    <t xml:space="preserve">/freelance-motion-graphics-designer/</t>
  </si>
  <si>
    <t xml:space="preserve">Motion graphics page</t>
  </si>
  <si>
    <t xml:space="preserve">/about/</t>
  </si>
  <si>
    <t xml:space="preserve">Off positioning. 301 to About if it has links or clicks, otherwise 410.</t>
  </si>
  <si>
    <t xml:space="preserve">/work/</t>
  </si>
  <si>
    <t xml:space="preserve">Work page</t>
  </si>
  <si>
    <t xml:space="preserve">About</t>
  </si>
  <si>
    <t xml:space="preserve">/articles/</t>
  </si>
  <si>
    <t xml:space="preserve">Articles index</t>
  </si>
  <si>
    <t xml:space="preserve">/testimonials/</t>
  </si>
  <si>
    <t xml:space="preserve">Testimonials</t>
  </si>
  <si>
    <t xml:space="preserve">Keep, or fold into the transparency page. Either way, drop the chatgpt UTM link pointing here.</t>
  </si>
  <si>
    <t xml:space="preserve">/contact/</t>
  </si>
  <si>
    <t xml:space="preserve">Contact</t>
  </si>
  <si>
    <t xml:space="preserve">Article</t>
  </si>
  <si>
    <t xml:space="preserve">/articles/how-to-design-a-shopify-website-2026/</t>
  </si>
  <si>
    <t xml:space="preserve">How to design a Shopify website</t>
  </si>
  <si>
    <t xml:space="preserve">/articles/what-to-look-for-hiring-shopify-designer/</t>
  </si>
  <si>
    <t xml:space="preserve">What to look for hiring a Shopify designer</t>
  </si>
  <si>
    <t xml:space="preserve">/articles/shopify-product-card-design/</t>
  </si>
  <si>
    <t xml:space="preserve">Shopify product card design</t>
  </si>
  <si>
    <t xml:space="preserve">/articles/voice-search-optimisation-for-shopify-stores-a-complete-2025-guide/</t>
  </si>
  <si>
    <t xml:space="preserve">Voice search optimisation</t>
  </si>
  <si>
    <t xml:space="preserve">Keep the year in the slug. Change slugs later, one at a time, never during the move.</t>
  </si>
  <si>
    <t xml:space="preserve">/articles/shopify-agentic-storefronts/</t>
  </si>
  <si>
    <t xml:space="preserve">Shopify agentic storefronts</t>
  </si>
  <si>
    <t xml:space="preserve">/articles/generative-engine-optimisation-shopify/</t>
  </si>
  <si>
    <t xml:space="preserve">Generative engine optimisation</t>
  </si>
  <si>
    <t xml:space="preserve">/articles/shortlisted-uk-ecommerce-awards-2026/</t>
  </si>
  <si>
    <t xml:space="preserve">Awards article</t>
  </si>
  <si>
    <t xml:space="preserve">/articles/25-biggest-brands-using-shopify-in-2025/</t>
  </si>
  <si>
    <t xml:space="preserve">25 Biggest Brands</t>
  </si>
  <si>
    <t xml:space="preserve">Keep the 2025 slug at launch: second biggest AI citation earner, and AI tools keep citing old URLs (Articles strategy doc, 22 Oct).</t>
  </si>
  <si>
    <t xml:space="preserve">/articles/good-conversion-rate-shopify/</t>
  </si>
  <si>
    <t xml:space="preserve">What is a good conversion rate</t>
  </si>
  <si>
    <t xml:space="preserve">/articles/how-to-increase-conversion-rates-on-your-shopify-store/</t>
  </si>
  <si>
    <t xml:space="preserve">How to increase conversion rates</t>
  </si>
  <si>
    <t xml:space="preserve">/articles/strategies-for-your-homeware-lifestyle-shopify-store/</t>
  </si>
  <si>
    <t xml:space="preserve">Homeware and lifestyle strategies</t>
  </si>
  <si>
    <t xml:space="preserve">/articles/microinteractions-in-shopify-website-design/</t>
  </si>
  <si>
    <t xml:space="preserve">Microinteractions</t>
  </si>
  <si>
    <t xml:space="preserve">/articles/shopify-vs-shopify-plus/</t>
  </si>
  <si>
    <t xml:space="preserve">Shopify vs Shopify Plus</t>
  </si>
  <si>
    <t xml:space="preserve">Proven lead source. Keep.</t>
  </si>
  <si>
    <t xml:space="preserve">/articles/why-off-the-shelf-shopify-themes-hold-stores-back-in-2025/</t>
  </si>
  <si>
    <t xml:space="preserve">Off-the-shelf themes</t>
  </si>
  <si>
    <t xml:space="preserve">/articles/product-comparisons-for-shopify-stores-how-better-ux-boosts-conversions/</t>
  </si>
  <si>
    <t xml:space="preserve">Product comparisons</t>
  </si>
  <si>
    <t xml:space="preserve">/articles/shopify-collabs-in-2025-harnessing-the-creator-economy-for-growth/</t>
  </si>
  <si>
    <t xml:space="preserve">Shopify Collabs</t>
  </si>
  <si>
    <t xml:space="preserve">/articles/what-makes-a-good-landing-page/</t>
  </si>
  <si>
    <t xml:space="preserve">What makes a good landing page</t>
  </si>
  <si>
    <t xml:space="preserve">/articles/why-conversion-rate-optimisation-is-still-a-human-skill/</t>
  </si>
  <si>
    <t xml:space="preserve">CRO is still a human skill</t>
  </si>
  <si>
    <t xml:space="preserve">/articles/what-is-a-shopify-partner/</t>
  </si>
  <si>
    <t xml:space="preserve">What is a Shopify Partner</t>
  </si>
  <si>
    <t xml:space="preserve">/articles/benefits-of-shopify-plus/</t>
  </si>
  <si>
    <t xml:space="preserve">Benefits of Shopify Plus</t>
  </si>
  <si>
    <t xml:space="preserve">/articles/klaviyo-pricing-2026-complete-breakdown-for-shopify-stores/</t>
  </si>
  <si>
    <t xml:space="preserve">Klaviyo pricing</t>
  </si>
  <si>
    <t xml:space="preserve">/articles/what-dtc-brands-should-look-for-shopify-designer/</t>
  </si>
  <si>
    <t xml:space="preserve">What DTC brands should look for</t>
  </si>
  <si>
    <t xml:space="preserve">/articles/shopify-pricing-2026/</t>
  </si>
  <si>
    <t xml:space="preserve">Shopify pricing</t>
  </si>
  <si>
    <t xml:space="preserve">/articles/shopify-ux-review/</t>
  </si>
  <si>
    <t xml:space="preserve">Shopify UX review</t>
  </si>
  <si>
    <t xml:space="preserve">Case study</t>
  </si>
  <si>
    <t xml:space="preserve">/portfolio/projektityyny-shopify-website-design-case-study/</t>
  </si>
  <si>
    <t xml:space="preserve">Projektityyny</t>
  </si>
  <si>
    <t xml:space="preserve">/portfolio/hartnack-and-co-shopify-website-design-case-study/</t>
  </si>
  <si>
    <t xml:space="preserve">Hartnack &amp; Co</t>
  </si>
  <si>
    <t xml:space="preserve">/portfolio/east-at-home-shopify-website-design-case-study/</t>
  </si>
  <si>
    <t xml:space="preserve">East at Home</t>
  </si>
  <si>
    <t xml:space="preserve">Award winner. Highest priority.</t>
  </si>
  <si>
    <t xml:space="preserve">/portfolio/drink-finder-shopify-website-design-case-study/</t>
  </si>
  <si>
    <t xml:space="preserve">Drink Finder</t>
  </si>
  <si>
    <t xml:space="preserve">/portfolio/fuzzball-shopify-website-design-case-study/</t>
  </si>
  <si>
    <t xml:space="preserve">Fuzzball</t>
  </si>
  <si>
    <t xml:space="preserve">/portfolio/thameen-london-shopify-website-design-case-study/</t>
  </si>
  <si>
    <t xml:space="preserve">Thameen London</t>
  </si>
  <si>
    <t xml:space="preserve">/portfolio/whistlefish-2-0-shopify-website-design-case-study/</t>
  </si>
  <si>
    <t xml:space="preserve">Whistlefish 2.0</t>
  </si>
  <si>
    <t xml:space="preserve">/portfolio/east-west-apparel-shopify-website-design-case-study/</t>
  </si>
  <si>
    <t xml:space="preserve">East West Apparel</t>
  </si>
  <si>
    <t xml:space="preserve">/portfolio/window-fleur-shopify-case-study/</t>
  </si>
  <si>
    <t xml:space="preserve">Window Fleur</t>
  </si>
  <si>
    <t xml:space="preserve">Older slug format. Keep it rather than rename.</t>
  </si>
  <si>
    <t xml:space="preserve">/portfolio/wide-fit-shoes-shopify-case-study/</t>
  </si>
  <si>
    <t xml:space="preserve">Wide Fit Shoes</t>
  </si>
  <si>
    <t xml:space="preserve">/portfolio/dr-lipp-shopify-website-case-study/</t>
  </si>
  <si>
    <t xml:space="preserve">Dr Lipp</t>
  </si>
  <si>
    <t xml:space="preserve">/portfolio/whistlefish/</t>
  </si>
  <si>
    <t xml:space="preserve">Whistlefish (original)</t>
  </si>
  <si>
    <t xml:space="preserve">Superseded by 2.0. 301 to it unless you want both.</t>
  </si>
  <si>
    <t xml:space="preserve">/portfolio/dyson-cinetic/</t>
  </si>
  <si>
    <t xml:space="preserve">Dyson Cinetic</t>
  </si>
  <si>
    <t xml:space="preserve">Dyson is strong proof. Keep, or 301 to Work if it won't move to the new site.</t>
  </si>
  <si>
    <t xml:space="preserve">/portfolio/dyson-american-uprights/</t>
  </si>
  <si>
    <t xml:space="preserve">Dyson American uprights</t>
  </si>
  <si>
    <t xml:space="preserve">As above.</t>
  </si>
  <si>
    <t xml:space="preserve">/portfolio/wrangler-ao22/</t>
  </si>
  <si>
    <t xml:space="preserve">Wrangler AO22</t>
  </si>
  <si>
    <t xml:space="preserve">Keep, or 301 to Work.</t>
  </si>
  <si>
    <t xml:space="preserve">/portfolio/wrangler-womens-heritage/</t>
  </si>
  <si>
    <t xml:space="preserve">Wrangler Women's Heritage</t>
  </si>
  <si>
    <t xml:space="preserve">/portfolio/chop-chop/</t>
  </si>
  <si>
    <t xml:space="preserve">Chop Chop identity</t>
  </si>
  <si>
    <t xml:space="preserve">Branding work. Keep, or 301 to the Branding page (follows row 10 if that page moves).</t>
  </si>
  <si>
    <t xml:space="preserve">/portfolio/spicy-guru/</t>
  </si>
  <si>
    <t xml:space="preserve">Spicy Guru logo</t>
  </si>
  <si>
    <t xml:space="preserve">/portfolio/the-brand-manual/</t>
  </si>
  <si>
    <t xml:space="preserve">The Brand Manual</t>
  </si>
  <si>
    <t xml:space="preserve">/portfolio/milson-place/</t>
  </si>
  <si>
    <t xml:space="preserve">Milson Place</t>
  </si>
  <si>
    <t xml:space="preserve">/portfolio/electronic-sound-magazine/</t>
  </si>
  <si>
    <t xml:space="preserve">Electronic Sound magazine</t>
  </si>
  <si>
    <t xml:space="preserve">Keep, 301 to Work, or 410.</t>
  </si>
  <si>
    <t xml:space="preserve">/portfolio/norton-radstock-college/</t>
  </si>
  <si>
    <t xml:space="preserve">Norton Radstock College</t>
  </si>
  <si>
    <t xml:space="preserve">/portfolio/proconvey-video/</t>
  </si>
  <si>
    <t xml:space="preserve">Proconvey video</t>
  </si>
  <si>
    <t xml:space="preserve">Not in sitemap</t>
  </si>
  <si>
    <t xml:space="preserve">/shopify-expert-uk/</t>
  </si>
  <si>
    <t xml:space="preserve">Old page, already redirected</t>
  </si>
  <si>
    <t xml:space="preserve">301</t>
  </si>
  <si>
    <t xml:space="preserve">Existing 301. Keep forever: AI models still cite it and it converts. Already in the new site's redirect file.</t>
  </si>
  <si>
    <t xml:space="preserve">Inlight Beauty case study (confirm slug)</t>
  </si>
  <si>
    <t xml:space="preserve">Removed at former employer's request</t>
  </si>
  <si>
    <t xml:space="preserve">410</t>
  </si>
  <si>
    <t xml:space="preserve">Must keep returning 410. Confirm exact slug in WordPress.</t>
  </si>
  <si>
    <t xml:space="preserve">Stovefitter's Warehouse case study (confirm slug)</t>
  </si>
  <si>
    <t xml:space="preserve">/portfolio/</t>
  </si>
  <si>
    <t xml:space="preserve">Case study archive, if WordPress serves one</t>
  </si>
  <si>
    <t xml:space="preserve">Check whether it resolves today.</t>
  </si>
  <si>
    <t xml:space="preserve">/articles/page/2/ (and later pages)</t>
  </si>
  <si>
    <t xml:space="preserve">Articles pagination</t>
  </si>
  <si>
    <t xml:space="preserve">/articles/page/2/</t>
  </si>
  <si>
    <t xml:space="preserve">23 Oct: the new articles page uses the same address for page 2 and on (24 per page), so these can stay. Today all 24 articles fit on one page, so /articles/page/2/ doesn't exist yet: 301 it to /articles/ until it does.</t>
  </si>
  <si>
    <t xml:space="preserve">/category/*</t>
  </si>
  <si>
    <t xml:space="preserve">Blog categories</t>
  </si>
  <si>
    <t xml:space="preserve">Pattern rule.</t>
  </si>
  <si>
    <t xml:space="preserve">/tag/*</t>
  </si>
  <si>
    <t xml:space="preserve">Blog tags</t>
  </si>
  <si>
    <t xml:space="preserve">/author/*</t>
  </si>
  <si>
    <t xml:space="preserve">Author archive</t>
  </si>
  <si>
    <t xml:space="preserve">Pattern rule. Supports the Person entity.</t>
  </si>
  <si>
    <t xml:space="preserve">/feed/ and /articles/feed/</t>
  </si>
  <si>
    <t xml:space="preserve">RSS feeds</t>
  </si>
  <si>
    <t xml:space="preserve">/feed/</t>
  </si>
  <si>
    <t xml:space="preserve">Rebuild the feed at the same address so readers and aggregators keep working.</t>
  </si>
  <si>
    <t xml:space="preserve">Attachment pages</t>
  </si>
  <si>
    <t xml:space="preserve">Media attachment URLs indexed after the AIOSEO reset</t>
  </si>
  <si>
    <t xml:space="preserve">Pattern rule. Check GSC for any still indexed.</t>
  </si>
  <si>
    <t xml:space="preserve">/wp-content/uploads/*</t>
  </si>
  <si>
    <t xml:space="preserve">Images</t>
  </si>
  <si>
    <t xml:space="preserve">Keep old image paths live for any with backlinks or Google Images traffic. Otherwise let them go.</t>
  </si>
  <si>
    <t xml:space="preserve">/sitemap.xml</t>
  </si>
  <si>
    <t xml:space="preserve">Sitemap index</t>
  </si>
  <si>
    <t xml:space="preserve">Serve the new sitemap at the same address.</t>
  </si>
  <si>
    <t xml:space="preserve">/robots.txt</t>
  </si>
  <si>
    <t xml:space="preserve">Robots file</t>
  </si>
  <si>
    <t xml:space="preserve">Check it doesn't block AI crawlers you want.</t>
  </si>
  <si>
    <t xml:space="preserve">/wp-admin/, /wp-login.php, /xmlrpc.php</t>
  </si>
  <si>
    <t xml:space="preserve">WordPress system URLs</t>
  </si>
  <si>
    <t xml:space="preserve">404</t>
  </si>
  <si>
    <t xml:space="preserve">Nothing to do. These should just 404.</t>
  </si>
  <si>
    <t xml:space="preserve">Site-wide rule</t>
  </si>
  <si>
    <t xml:space="preserve">http:// and www.</t>
  </si>
  <si>
    <t xml:space="preserve">Protocol and host</t>
  </si>
  <si>
    <t xml:space="preserve">https://anthonyis.uk/</t>
  </si>
  <si>
    <t xml:space="preserve">Every variant goes to https, no www, in one hop.</t>
  </si>
  <si>
    <t xml:space="preserve">Missing trailing slash</t>
  </si>
  <si>
    <t xml:space="preserve">e.g. /about</t>
  </si>
  <si>
    <t xml:space="preserve">Same path with trailing slash</t>
  </si>
  <si>
    <t xml:space="preserve">Match WordPress: trailing slash on every page.</t>
  </si>
  <si>
    <t xml:space="preserve">Article archive</t>
  </si>
  <si>
    <t xml:space="preserve">/articles/author/admin/</t>
  </si>
  <si>
    <t xml:space="preserve">WordPress author archive (the real path, under /articles/)</t>
  </si>
  <si>
    <t xml:space="preserve">Found in the articles migration. Covers the /author/* pattern row with the exact path WordPress uses. One hop to About.</t>
  </si>
  <si>
    <t xml:space="preserve">23 Oct 2026</t>
  </si>
  <si>
    <t xml:space="preserve">/articles/category/tips/</t>
  </si>
  <si>
    <t xml:space="preserve">Old blog category</t>
  </si>
  <si>
    <t xml:space="preserve">WordPress category page. The new site has no category pages: topics are filters on /articles/.</t>
  </si>
  <si>
    <t xml:space="preserve">/articles/category/resources/</t>
  </si>
  <si>
    <t xml:space="preserve">/articles/category/ux-ui/</t>
  </si>
  <si>
    <t xml:space="preserve">/articles/25-biggest-brands-on-shopify-2025/</t>
  </si>
  <si>
    <t xml:space="preserve">Earlier slug of 25 Biggest Brands</t>
  </si>
  <si>
    <t xml:space="preserve">Still showing in Search Console (1 impression, last 90 days). One hop to the live article.</t>
  </si>
  <si>
    <t xml:space="preserve">Voice search: drop '2025' from the slug</t>
  </si>
  <si>
    <t xml:space="preserve">/articles/voice-search-optimisation-for-shopify-stores/</t>
  </si>
  <si>
    <t xml:space="preserve">Proposal from the Articles strategy doc: a 2025 URL on a 2026 article looks stale. Needs your yes. If no, the row above for this article stays Keep. New URL is a placeholder.</t>
  </si>
  <si>
    <t xml:space="preserve">Shopify Collabs: drop '2025' from the slug</t>
  </si>
  <si>
    <t xml:space="preserve">/articles/shopify-collabs-creator-marketing/</t>
  </si>
  <si>
    <t xml:space="preserve">Same proposal. New URL is a placeholder.</t>
  </si>
  <si>
    <t xml:space="preserve">Off-the-shelf themes: drop '2025' from the slug</t>
  </si>
  <si>
    <t xml:space="preserve">/articles/why-off-the-shelf-shopify-themes-hold-stores-back/</t>
  </si>
  <si>
    <t xml:space="preserve">Merge into the hiring article</t>
  </si>
  <si>
    <t xml:space="preserve">Proposal from the Articles strategy doc: the two articles compete for the same query. It's in the Review tier, so it's decided on the data after launch. Leave as Keep until then.</t>
  </si>
  <si>
    <t xml:space="preserve">Article media</t>
  </si>
  <si>
    <t xml:space="preserve">/wp-content/uploads/... (article images and recordings)</t>
  </si>
  <si>
    <t xml:space="preserve">70 images and 17 screen recordings used in the articles</t>
  </si>
  <si>
    <t xml:space="preserve">New site's own image and video paths</t>
  </si>
  <si>
    <t xml:space="preserve">All now served by the new site (images optimised, recordings in /video/articles/). The old /wp-content/uploads/ files only need a redirect if they have backlinks or Google Images traffic: follows the /wp-content/uploads/* row.</t>
  </si>
  <si>
    <t xml:space="preserve">Date</t>
  </si>
  <si>
    <t xml:space="preserve">Change</t>
  </si>
  <si>
    <t xml:space="preserve">Map created from the live sitemaps: 80 rows.</t>
  </si>
  <si>
    <t xml:space="preserve">Moved to Google Drive as the one live copy. Added an Added column.</t>
  </si>
  <si>
    <t xml:space="preserve">Added rows 81 to 90 from the articles migration: the exact WordPress author and category paths, the old 25 Biggest Brands slug, the three '2025' slug proposals and the DTC article merge (both Decide), and the article images and recordings.</t>
  </si>
  <si>
    <t xml:space="preserve">Row 9 (DTC brands page): noted the five articles that link to it.</t>
  </si>
  <si>
    <t xml:space="preserve">Row 25 (25 Biggest Brands): keeps its 2025 slug at launch, per the Articles strategy doc.</t>
  </si>
  <si>
    <t xml:space="preserve">Row 69 (articles pagination): Decide to Keep, since the new articles page uses the same page 2 address.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</si>
</sst>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E2023"/>
      <name val="Arial"/>
      <family val="0"/>
      <charset val="1"/>
    </font>
    <font>
      <b val="true"/>
      <sz val="10"/>
      <color rgb="FF1E2023"/>
      <name val="Arial"/>
      <family val="0"/>
      <charset val="1"/>
    </font>
    <font>
      <sz val="10"/>
      <color rgb="FF1E2023"/>
      <name val="Arial"/>
      <family val="0"/>
      <charset val="1"/>
    </font>
    <font>
      <b val="true"/>
      <sz val="12"/>
      <color rgb="FF1E2023"/>
      <name val="Arial"/>
      <family val="0"/>
      <charset val="1"/>
    </font>
    <font>
      <b val="true"/>
      <sz val="10"/>
      <color rgb="FFFFFFFF"/>
      <name val="Arial"/>
      <family val="0"/>
      <charset val="1"/>
    </font>
  </fonts>
  <fills count="6">
    <fill>
      <patternFill patternType="none"/>
    </fill>
    <fill>
      <patternFill patternType="gray125"/>
    </fill>
    <fill>
      <patternFill patternType="solid">
        <fgColor rgb="FFFCE233"/>
        <bgColor rgb="FFFFFF00"/>
      </patternFill>
    </fill>
    <fill>
      <patternFill patternType="solid">
        <fgColor rgb="FF1E2023"/>
        <bgColor rgb="FF333300"/>
      </patternFill>
    </fill>
    <fill>
      <patternFill patternType="solid">
        <fgColor rgb="FFFFF6C2"/>
        <bgColor rgb="FFFFFF99"/>
      </patternFill>
    </fill>
    <fill>
      <patternFill patternType="solid">
        <fgColor rgb="FFF7F7F7"/>
        <bgColor rgb="FFFFFFFF"/>
      </patternFill>
    </fill>
  </fills>
  <borders count="2">
    <border diagonalUp="false" diagonalDown="false">
      <left/>
      <right/>
      <top/>
      <bottom/>
      <diagonal/>
    </border>
    <border diagonalUp="false" diagonalDown="false">
      <left/>
      <right/>
      <top/>
      <bottom style="thin">
        <color rgb="FFEBEB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E2023"/>
          <bgColor rgb="FF000000"/>
        </patternFill>
      </fill>
    </dxf>
    <dxf>
      <fill>
        <patternFill patternType="solid">
          <bgColor rgb="FF000000"/>
        </patternFill>
      </fill>
    </dxf>
    <dxf>
      <fill>
        <patternFill patternType="solid">
          <fgColor rgb="FFFFFFFF"/>
          <bgColor rgb="FF000000"/>
        </patternFill>
      </fill>
    </dxf>
    <dxf>
      <fill>
        <patternFill patternType="solid">
          <fgColor rgb="FFFCE233"/>
          <bgColor rgb="FF000000"/>
        </patternFill>
      </fill>
    </dxf>
    <dxf>
      <fill>
        <patternFill patternType="solid">
          <fgColor rgb="FFFFF6C2"/>
          <bgColor rgb="FF000000"/>
        </patternFill>
      </fill>
    </dxf>
    <dxf>
      <fill>
        <patternFill patternType="solid">
          <fgColor rgb="FFF7F7F7"/>
          <bgColor rgb="FF000000"/>
        </patternFill>
      </fill>
    </dxf>
    <dxf>
      <font>
        <name val="Arial"/>
        <charset val="1"/>
        <family val="0"/>
        <b val="1"/>
        <color rgb="FF1E2023"/>
      </font>
      <fill>
        <patternFill>
          <bgColor rgb="FFFCE23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2"/>
      <rgbColor rgb="FFEBEB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7F7"/>
      <rgbColor rgb="FFCCFFCC"/>
      <rgbColor rgb="FFFFFF99"/>
      <rgbColor rgb="FF99CCFF"/>
      <rgbColor rgb="FFFF99CC"/>
      <rgbColor rgb="FFCC99FF"/>
      <rgbColor rgb="FFFFCC99"/>
      <rgbColor rgb="FF3366FF"/>
      <rgbColor rgb="FF33CCCC"/>
      <rgbColor rgb="FF99CC00"/>
      <rgbColor rgb="FFFCE233"/>
      <rgbColor rgb="FFFF9900"/>
      <rgbColor rgb="FFFF6600"/>
      <rgbColor rgb="FF666699"/>
      <rgbColor rgb="FF969696"/>
      <rgbColor rgb="FF003366"/>
      <rgbColor rgb="FF339966"/>
      <rgbColor rgb="FF003300"/>
      <rgbColor rgb="FF333300"/>
      <rgbColor rgb="FF993300"/>
      <rgbColor rgb="FF993366"/>
      <rgbColor rgb="FF333399"/>
      <rgbColor rgb="FF1E20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35.8" hidden="false" customHeight="false" outlineLevel="0" collapsed="false">
      <c r="A1" s="1" t="s">
        <v>0</v>
      </c>
      <c r="B1" s="2"/>
    </row>
    <row r="3" customFormat="false" ht="35.05" hidden="false" customHeight="false" outlineLevel="0" collapsed="false">
      <c r="A3" s="3" t="s">
        <v>1</v>
      </c>
      <c r="B3" s="4" t="s">
        <v>2</v>
      </c>
    </row>
    <row r="4" customFormat="false" ht="35.05" hidden="false" customHeight="false" outlineLevel="0" collapsed="false">
      <c r="A4" s="3" t="s">
        <v>3</v>
      </c>
      <c r="B4" s="4" t="s">
        <v>4</v>
      </c>
    </row>
    <row r="5" customFormat="false" ht="23.85" hidden="false" customHeight="false" outlineLevel="0" collapsed="false">
      <c r="A5" s="3" t="s">
        <v>5</v>
      </c>
      <c r="B5" s="4" t="s">
        <v>6</v>
      </c>
    </row>
    <row r="7" customFormat="false" ht="15" hidden="false" customHeight="false" outlineLevel="0" collapsed="false">
      <c r="A7" s="5" t="s">
        <v>7</v>
      </c>
      <c r="B7" s="2"/>
    </row>
    <row r="8" customFormat="false" ht="15" hidden="false" customHeight="false" outlineLevel="0" collapsed="false">
      <c r="A8" s="3" t="s">
        <v>8</v>
      </c>
      <c r="B8" s="4" t="s">
        <v>9</v>
      </c>
    </row>
    <row r="9" customFormat="false" ht="1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row r="15" customFormat="false" ht="15" hidden="false" customHeight="false" outlineLevel="0" collapsed="false">
      <c r="A15" s="5" t="s">
        <v>20</v>
      </c>
      <c r="B15" s="2"/>
    </row>
    <row r="16" customFormat="false" ht="15" hidden="false" customHeight="false" outlineLevel="0" collapsed="false">
      <c r="A16" s="4" t="s">
        <v>21</v>
      </c>
      <c r="B16" s="4" t="n">
        <f aca="false">COUNTA('URL map'!C2:C91)</f>
        <v>90</v>
      </c>
    </row>
    <row r="17" customFormat="false" ht="15" hidden="false" customHeight="false" outlineLevel="0" collapsed="false">
      <c r="A17" s="6" t="s">
        <v>22</v>
      </c>
      <c r="B17" s="7" t="n">
        <f aca="false">COUNTIF('URL map'!J2:J91,"Keep")</f>
        <v>51</v>
      </c>
    </row>
    <row r="18" customFormat="false" ht="15" hidden="false" customHeight="false" outlineLevel="0" collapsed="false">
      <c r="A18" s="6" t="s">
        <v>23</v>
      </c>
      <c r="B18" s="7" t="n">
        <f aca="false">COUNTIF('URL map'!J2:J91,"301")</f>
        <v>12</v>
      </c>
    </row>
    <row r="19" customFormat="false" ht="15" hidden="false" customHeight="false" outlineLevel="0" collapsed="false">
      <c r="A19" s="6" t="s">
        <v>24</v>
      </c>
      <c r="B19" s="7" t="n">
        <f aca="false">COUNTIF('URL map'!J2:J91,"410")</f>
        <v>3</v>
      </c>
    </row>
    <row r="20" customFormat="false" ht="15" hidden="false" customHeight="false" outlineLevel="0" collapsed="false">
      <c r="A20" s="6" t="s">
        <v>25</v>
      </c>
      <c r="B20" s="7" t="n">
        <f aca="false">COUNTIF('URL map'!J2:J91,"404")</f>
        <v>1</v>
      </c>
    </row>
    <row r="21" customFormat="false" ht="15" hidden="false" customHeight="false" outlineLevel="0" collapsed="false">
      <c r="A21" s="8" t="s">
        <v>26</v>
      </c>
      <c r="B21" s="9" t="n">
        <f aca="false">COUNTIF('URL map'!J2:J91,"Decide")</f>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52"/>
    <col collapsed="false" customWidth="true" hidden="false" outlineLevel="0" max="4" min="4" style="0" width="34"/>
    <col collapsed="false" customWidth="true" hidden="false" outlineLevel="0" max="5" min="5" style="0" width="11"/>
    <col collapsed="false" customWidth="true" hidden="false" outlineLevel="0" max="6" min="6" style="0" width="48"/>
    <col collapsed="false" customWidth="true" hidden="false" outlineLevel="0" max="7" min="7" style="0" width="60"/>
    <col collapsed="false" customWidth="true" hidden="false" outlineLevel="0" max="8" min="8" style="0" width="13"/>
    <col collapsed="false" customWidth="true" hidden="false" outlineLevel="0" max="9" min="9" style="0" width="34"/>
    <col collapsed="false" customWidth="true" hidden="false" outlineLevel="0" max="10" min="10" style="0" width="11"/>
    <col collapsed="false" customWidth="true" hidden="false" outlineLevel="0" max="11" min="11" style="0" width="48"/>
    <col collapsed="false" customWidth="true" hidden="false" outlineLevel="0" max="14" min="12" style="0" width="12"/>
  </cols>
  <sheetData>
    <row r="1" customFormat="false" ht="30" hidden="false" customHeight="true" outlineLevel="0" collapsed="false">
      <c r="A1" s="10" t="s">
        <v>27</v>
      </c>
      <c r="B1" s="10" t="s">
        <v>28</v>
      </c>
      <c r="C1" s="10" t="s">
        <v>29</v>
      </c>
      <c r="D1" s="10" t="s">
        <v>30</v>
      </c>
      <c r="E1" s="10" t="s">
        <v>31</v>
      </c>
      <c r="F1" s="10" t="s">
        <v>32</v>
      </c>
      <c r="G1" s="10" t="s">
        <v>33</v>
      </c>
      <c r="H1" s="11" t="s">
        <v>34</v>
      </c>
      <c r="I1" s="11" t="s">
        <v>35</v>
      </c>
      <c r="J1" s="10" t="s">
        <v>36</v>
      </c>
      <c r="K1" s="10" t="s">
        <v>37</v>
      </c>
      <c r="L1" s="10" t="s">
        <v>38</v>
      </c>
      <c r="M1" s="10" t="s">
        <v>39</v>
      </c>
      <c r="N1" s="10" t="s">
        <v>40</v>
      </c>
    </row>
    <row r="2" customFormat="false" ht="15" hidden="false" customHeight="false" outlineLevel="0" collapsed="false">
      <c r="A2" s="12" t="n">
        <v>1</v>
      </c>
      <c r="B2" s="12" t="s">
        <v>41</v>
      </c>
      <c r="C2" s="12" t="s">
        <v>42</v>
      </c>
      <c r="D2" s="12" t="s">
        <v>43</v>
      </c>
      <c r="E2" s="12" t="s">
        <v>44</v>
      </c>
      <c r="F2" s="12" t="s">
        <v>42</v>
      </c>
      <c r="G2" s="12" t="s">
        <v>45</v>
      </c>
      <c r="H2" s="13"/>
      <c r="I2" s="13"/>
      <c r="J2" s="12" t="str">
        <f aca="false">IF(H2="",E2,H2)</f>
        <v>Keep</v>
      </c>
      <c r="K2" s="12" t="str">
        <f aca="false">IF(J2="410","",IF(J2="404","",IF(I2&lt;&gt;"",I2,F2)))</f>
        <v>/</v>
      </c>
      <c r="L2" s="14"/>
      <c r="M2" s="14"/>
      <c r="N2" s="12" t="s">
        <v>46</v>
      </c>
    </row>
    <row r="3" customFormat="false" ht="23.85" hidden="false" customHeight="false" outlineLevel="0" collapsed="false">
      <c r="A3" s="12" t="n">
        <v>2</v>
      </c>
      <c r="B3" s="12" t="s">
        <v>41</v>
      </c>
      <c r="C3" s="12" t="s">
        <v>47</v>
      </c>
      <c r="D3" s="12" t="s">
        <v>48</v>
      </c>
      <c r="E3" s="12" t="s">
        <v>44</v>
      </c>
      <c r="F3" s="12" t="s">
        <v>47</v>
      </c>
      <c r="G3" s="12" t="s">
        <v>49</v>
      </c>
      <c r="H3" s="13"/>
      <c r="I3" s="13"/>
      <c r="J3" s="12" t="str">
        <f aca="false">IF(H3="",E3,H3)</f>
        <v>Keep</v>
      </c>
      <c r="K3" s="12" t="str">
        <f aca="false">IF(J3="410","",IF(J3="404","",IF(I3&lt;&gt;"",I3,F3)))</f>
        <v>/shopify-website-design/</v>
      </c>
      <c r="L3" s="14"/>
      <c r="M3" s="14"/>
      <c r="N3" s="12" t="s">
        <v>46</v>
      </c>
    </row>
    <row r="4" customFormat="false" ht="23.85" hidden="false" customHeight="false" outlineLevel="0" collapsed="false">
      <c r="A4" s="12" t="n">
        <v>3</v>
      </c>
      <c r="B4" s="12" t="s">
        <v>41</v>
      </c>
      <c r="C4" s="12" t="s">
        <v>50</v>
      </c>
      <c r="D4" s="12" t="s">
        <v>51</v>
      </c>
      <c r="E4" s="12" t="s">
        <v>44</v>
      </c>
      <c r="F4" s="12" t="s">
        <v>50</v>
      </c>
      <c r="G4" s="12" t="s">
        <v>52</v>
      </c>
      <c r="H4" s="13"/>
      <c r="I4" s="13"/>
      <c r="J4" s="12" t="str">
        <f aca="false">IF(H4="",E4,H4)</f>
        <v>Keep</v>
      </c>
      <c r="K4" s="12" t="str">
        <f aca="false">IF(J4="410","",IF(J4="404","",IF(I4&lt;&gt;"",I4,F4)))</f>
        <v>/shopify-website-design/bespoke-shopify-store-builds/</v>
      </c>
      <c r="L4" s="14"/>
      <c r="M4" s="14"/>
      <c r="N4" s="12" t="s">
        <v>46</v>
      </c>
    </row>
    <row r="5" customFormat="false" ht="15" hidden="false" customHeight="false" outlineLevel="0" collapsed="false">
      <c r="A5" s="12" t="n">
        <v>4</v>
      </c>
      <c r="B5" s="12" t="s">
        <v>41</v>
      </c>
      <c r="C5" s="12" t="s">
        <v>53</v>
      </c>
      <c r="D5" s="12" t="s">
        <v>54</v>
      </c>
      <c r="E5" s="12" t="s">
        <v>44</v>
      </c>
      <c r="F5" s="12" t="s">
        <v>53</v>
      </c>
      <c r="G5" s="12"/>
      <c r="H5" s="13"/>
      <c r="I5" s="13"/>
      <c r="J5" s="12" t="str">
        <f aca="false">IF(H5="",E5,H5)</f>
        <v>Keep</v>
      </c>
      <c r="K5" s="12" t="str">
        <f aca="false">IF(J5="410","",IF(J5="404","",IF(I5&lt;&gt;"",I5,F5)))</f>
        <v>/shopify-website-design/shopify-theme-customisation/</v>
      </c>
      <c r="L5" s="14"/>
      <c r="M5" s="14"/>
      <c r="N5" s="12" t="s">
        <v>46</v>
      </c>
    </row>
    <row r="6" customFormat="false" ht="15" hidden="false" customHeight="false" outlineLevel="0" collapsed="false">
      <c r="A6" s="12" t="n">
        <v>5</v>
      </c>
      <c r="B6" s="12" t="s">
        <v>41</v>
      </c>
      <c r="C6" s="12" t="s">
        <v>55</v>
      </c>
      <c r="D6" s="12" t="s">
        <v>56</v>
      </c>
      <c r="E6" s="12" t="s">
        <v>44</v>
      </c>
      <c r="F6" s="12" t="s">
        <v>55</v>
      </c>
      <c r="G6" s="12" t="s">
        <v>57</v>
      </c>
      <c r="H6" s="13"/>
      <c r="I6" s="13"/>
      <c r="J6" s="12" t="str">
        <f aca="false">IF(H6="",E6,H6)</f>
        <v>Keep</v>
      </c>
      <c r="K6" s="12" t="str">
        <f aca="false">IF(J6="410","",IF(J6="404","",IF(I6&lt;&gt;"",I6,F6)))</f>
        <v>/shopify-website-design/shopify-migration/</v>
      </c>
      <c r="L6" s="14"/>
      <c r="M6" s="14"/>
      <c r="N6" s="12" t="s">
        <v>46</v>
      </c>
    </row>
    <row r="7" customFormat="false" ht="23.85" hidden="false" customHeight="false" outlineLevel="0" collapsed="false">
      <c r="A7" s="12" t="n">
        <v>6</v>
      </c>
      <c r="B7" s="12" t="s">
        <v>41</v>
      </c>
      <c r="C7" s="12" t="s">
        <v>58</v>
      </c>
      <c r="D7" s="12" t="s">
        <v>59</v>
      </c>
      <c r="E7" s="12" t="s">
        <v>44</v>
      </c>
      <c r="F7" s="12" t="s">
        <v>58</v>
      </c>
      <c r="G7" s="12"/>
      <c r="H7" s="13"/>
      <c r="I7" s="13"/>
      <c r="J7" s="12" t="str">
        <f aca="false">IF(H7="",E7,H7)</f>
        <v>Keep</v>
      </c>
      <c r="K7" s="12" t="str">
        <f aca="false">IF(J7="410","",IF(J7="404","",IF(I7&lt;&gt;"",I7,F7)))</f>
        <v>/shopify-website-design/shopify-conversion-rate-optimisation/</v>
      </c>
      <c r="L7" s="14"/>
      <c r="M7" s="14"/>
      <c r="N7" s="12" t="s">
        <v>46</v>
      </c>
    </row>
    <row r="8" customFormat="false" ht="15" hidden="false" customHeight="false" outlineLevel="0" collapsed="false">
      <c r="A8" s="12" t="n">
        <v>7</v>
      </c>
      <c r="B8" s="12" t="s">
        <v>41</v>
      </c>
      <c r="C8" s="12" t="s">
        <v>60</v>
      </c>
      <c r="D8" s="12" t="s">
        <v>61</v>
      </c>
      <c r="E8" s="12" t="s">
        <v>44</v>
      </c>
      <c r="F8" s="12" t="s">
        <v>60</v>
      </c>
      <c r="G8" s="12"/>
      <c r="H8" s="13"/>
      <c r="I8" s="13"/>
      <c r="J8" s="12" t="str">
        <f aca="false">IF(H8="",E8,H8)</f>
        <v>Keep</v>
      </c>
      <c r="K8" s="12" t="str">
        <f aca="false">IF(J8="410","",IF(J8="404","",IF(I8&lt;&gt;"",I8,F8)))</f>
        <v>/shopify-website-design/shopify-subscriptions/</v>
      </c>
      <c r="L8" s="14"/>
      <c r="M8" s="14"/>
      <c r="N8" s="12" t="s">
        <v>46</v>
      </c>
    </row>
    <row r="9" customFormat="false" ht="15" hidden="false" customHeight="false" outlineLevel="0" collapsed="false">
      <c r="A9" s="12" t="n">
        <v>8</v>
      </c>
      <c r="B9" s="12" t="s">
        <v>41</v>
      </c>
      <c r="C9" s="12" t="s">
        <v>62</v>
      </c>
      <c r="D9" s="12" t="s">
        <v>63</v>
      </c>
      <c r="E9" s="12" t="s">
        <v>44</v>
      </c>
      <c r="F9" s="12" t="s">
        <v>62</v>
      </c>
      <c r="G9" s="12" t="s">
        <v>64</v>
      </c>
      <c r="H9" s="13"/>
      <c r="I9" s="13"/>
      <c r="J9" s="12" t="str">
        <f aca="false">IF(H9="",E9,H9)</f>
        <v>Keep</v>
      </c>
      <c r="K9" s="12" t="str">
        <f aca="false">IF(J9="410","",IF(J9="404","",IF(I9&lt;&gt;"",I9,F9)))</f>
        <v>/shopify-website-design/shopify-ai-search-design/</v>
      </c>
      <c r="L9" s="14"/>
      <c r="M9" s="14"/>
      <c r="N9" s="12" t="s">
        <v>46</v>
      </c>
    </row>
    <row r="10" customFormat="false" ht="68.65" hidden="false" customHeight="false" outlineLevel="0" collapsed="false">
      <c r="A10" s="12" t="n">
        <v>9</v>
      </c>
      <c r="B10" s="12" t="s">
        <v>41</v>
      </c>
      <c r="C10" s="12" t="s">
        <v>65</v>
      </c>
      <c r="D10" s="12" t="s">
        <v>66</v>
      </c>
      <c r="E10" s="12" t="s">
        <v>67</v>
      </c>
      <c r="F10" s="12" t="s">
        <v>47</v>
      </c>
      <c r="G10" s="12" t="s">
        <v>68</v>
      </c>
      <c r="H10" s="13"/>
      <c r="I10" s="13"/>
      <c r="J10" s="12" t="str">
        <f aca="false">IF(H10="",E10,H10)</f>
        <v>Decide</v>
      </c>
      <c r="K10" s="12" t="str">
        <f aca="false">IF(J10="410","",IF(J10="404","",IF(I10&lt;&gt;"",I10,F10)))</f>
        <v>/shopify-website-design/</v>
      </c>
      <c r="L10" s="14"/>
      <c r="M10" s="14"/>
      <c r="N10" s="12" t="s">
        <v>46</v>
      </c>
    </row>
    <row r="11" customFormat="false" ht="23.85" hidden="false" customHeight="false" outlineLevel="0" collapsed="false">
      <c r="A11" s="12" t="n">
        <v>10</v>
      </c>
      <c r="B11" s="12" t="s">
        <v>41</v>
      </c>
      <c r="C11" s="12" t="s">
        <v>69</v>
      </c>
      <c r="D11" s="12" t="s">
        <v>70</v>
      </c>
      <c r="E11" s="12" t="s">
        <v>67</v>
      </c>
      <c r="F11" s="12" t="s">
        <v>71</v>
      </c>
      <c r="G11" s="12" t="s">
        <v>72</v>
      </c>
      <c r="H11" s="13"/>
      <c r="I11" s="13"/>
      <c r="J11" s="12" t="str">
        <f aca="false">IF(H11="",E11,H11)</f>
        <v>Decide</v>
      </c>
      <c r="K11" s="12" t="str">
        <f aca="false">IF(J11="410","",IF(J11="404","",IF(I11&lt;&gt;"",I11,F11)))</f>
        <v>/shopify-website-design/shopify-branding/</v>
      </c>
      <c r="L11" s="14"/>
      <c r="M11" s="14"/>
      <c r="N11" s="12" t="s">
        <v>46</v>
      </c>
    </row>
    <row r="12" customFormat="false" ht="23.85" hidden="false" customHeight="false" outlineLevel="0" collapsed="false">
      <c r="A12" s="12" t="n">
        <v>11</v>
      </c>
      <c r="B12" s="12" t="s">
        <v>41</v>
      </c>
      <c r="C12" s="12" t="s">
        <v>73</v>
      </c>
      <c r="D12" s="12" t="s">
        <v>74</v>
      </c>
      <c r="E12" s="12" t="s">
        <v>67</v>
      </c>
      <c r="F12" s="12" t="s">
        <v>75</v>
      </c>
      <c r="G12" s="12" t="s">
        <v>76</v>
      </c>
      <c r="H12" s="13"/>
      <c r="I12" s="13"/>
      <c r="J12" s="12" t="str">
        <f aca="false">IF(H12="",E12,H12)</f>
        <v>Decide</v>
      </c>
      <c r="K12" s="12" t="str">
        <f aca="false">IF(J12="410","",IF(J12="404","",IF(I12&lt;&gt;"",I12,F12)))</f>
        <v>/shopify-website-design/shopify-ux-design/</v>
      </c>
      <c r="L12" s="14"/>
      <c r="M12" s="14"/>
      <c r="N12" s="12" t="s">
        <v>46</v>
      </c>
    </row>
    <row r="13" customFormat="false" ht="15" hidden="false" customHeight="false" outlineLevel="0" collapsed="false">
      <c r="A13" s="12" t="n">
        <v>12</v>
      </c>
      <c r="B13" s="12" t="s">
        <v>41</v>
      </c>
      <c r="C13" s="12" t="s">
        <v>77</v>
      </c>
      <c r="D13" s="12" t="s">
        <v>78</v>
      </c>
      <c r="E13" s="12" t="s">
        <v>67</v>
      </c>
      <c r="F13" s="12" t="s">
        <v>79</v>
      </c>
      <c r="G13" s="12" t="s">
        <v>80</v>
      </c>
      <c r="H13" s="13"/>
      <c r="I13" s="13"/>
      <c r="J13" s="12" t="str">
        <f aca="false">IF(H13="",E13,H13)</f>
        <v>Decide</v>
      </c>
      <c r="K13" s="12" t="str">
        <f aca="false">IF(J13="410","",IF(J13="404","",IF(I13&lt;&gt;"",I13,F13)))</f>
        <v>/about/</v>
      </c>
      <c r="L13" s="14"/>
      <c r="M13" s="14"/>
      <c r="N13" s="12" t="s">
        <v>46</v>
      </c>
    </row>
    <row r="14" customFormat="false" ht="15" hidden="false" customHeight="false" outlineLevel="0" collapsed="false">
      <c r="A14" s="12" t="n">
        <v>13</v>
      </c>
      <c r="B14" s="12" t="s">
        <v>41</v>
      </c>
      <c r="C14" s="12" t="s">
        <v>81</v>
      </c>
      <c r="D14" s="12" t="s">
        <v>82</v>
      </c>
      <c r="E14" s="12" t="s">
        <v>44</v>
      </c>
      <c r="F14" s="12" t="s">
        <v>81</v>
      </c>
      <c r="G14" s="12"/>
      <c r="H14" s="13"/>
      <c r="I14" s="13"/>
      <c r="J14" s="12" t="str">
        <f aca="false">IF(H14="",E14,H14)</f>
        <v>Keep</v>
      </c>
      <c r="K14" s="12" t="str">
        <f aca="false">IF(J14="410","",IF(J14="404","",IF(I14&lt;&gt;"",I14,F14)))</f>
        <v>/work/</v>
      </c>
      <c r="L14" s="14"/>
      <c r="M14" s="14"/>
      <c r="N14" s="12" t="s">
        <v>46</v>
      </c>
    </row>
    <row r="15" customFormat="false" ht="15" hidden="false" customHeight="false" outlineLevel="0" collapsed="false">
      <c r="A15" s="12" t="n">
        <v>14</v>
      </c>
      <c r="B15" s="12" t="s">
        <v>41</v>
      </c>
      <c r="C15" s="12" t="s">
        <v>79</v>
      </c>
      <c r="D15" s="12" t="s">
        <v>83</v>
      </c>
      <c r="E15" s="12" t="s">
        <v>44</v>
      </c>
      <c r="F15" s="12" t="s">
        <v>79</v>
      </c>
      <c r="G15" s="12"/>
      <c r="H15" s="13"/>
      <c r="I15" s="13"/>
      <c r="J15" s="12" t="str">
        <f aca="false">IF(H15="",E15,H15)</f>
        <v>Keep</v>
      </c>
      <c r="K15" s="12" t="str">
        <f aca="false">IF(J15="410","",IF(J15="404","",IF(I15&lt;&gt;"",I15,F15)))</f>
        <v>/about/</v>
      </c>
      <c r="L15" s="14"/>
      <c r="M15" s="14"/>
      <c r="N15" s="12" t="s">
        <v>46</v>
      </c>
    </row>
    <row r="16" customFormat="false" ht="15" hidden="false" customHeight="false" outlineLevel="0" collapsed="false">
      <c r="A16" s="12" t="n">
        <v>15</v>
      </c>
      <c r="B16" s="12" t="s">
        <v>41</v>
      </c>
      <c r="C16" s="12" t="s">
        <v>84</v>
      </c>
      <c r="D16" s="12" t="s">
        <v>85</v>
      </c>
      <c r="E16" s="12" t="s">
        <v>44</v>
      </c>
      <c r="F16" s="12" t="s">
        <v>84</v>
      </c>
      <c r="G16" s="12"/>
      <c r="H16" s="13"/>
      <c r="I16" s="13"/>
      <c r="J16" s="12" t="str">
        <f aca="false">IF(H16="",E16,H16)</f>
        <v>Keep</v>
      </c>
      <c r="K16" s="12" t="str">
        <f aca="false">IF(J16="410","",IF(J16="404","",IF(I16&lt;&gt;"",I16,F16)))</f>
        <v>/articles/</v>
      </c>
      <c r="L16" s="14"/>
      <c r="M16" s="14"/>
      <c r="N16" s="12" t="s">
        <v>46</v>
      </c>
    </row>
    <row r="17" customFormat="false" ht="23.85" hidden="false" customHeight="false" outlineLevel="0" collapsed="false">
      <c r="A17" s="12" t="n">
        <v>16</v>
      </c>
      <c r="B17" s="12" t="s">
        <v>41</v>
      </c>
      <c r="C17" s="12" t="s">
        <v>86</v>
      </c>
      <c r="D17" s="12" t="s">
        <v>87</v>
      </c>
      <c r="E17" s="12" t="s">
        <v>67</v>
      </c>
      <c r="F17" s="12" t="s">
        <v>86</v>
      </c>
      <c r="G17" s="12" t="s">
        <v>88</v>
      </c>
      <c r="H17" s="13"/>
      <c r="I17" s="13"/>
      <c r="J17" s="12" t="str">
        <f aca="false">IF(H17="",E17,H17)</f>
        <v>Decide</v>
      </c>
      <c r="K17" s="12" t="str">
        <f aca="false">IF(J17="410","",IF(J17="404","",IF(I17&lt;&gt;"",I17,F17)))</f>
        <v>/testimonials/</v>
      </c>
      <c r="L17" s="14"/>
      <c r="M17" s="14"/>
      <c r="N17" s="12" t="s">
        <v>46</v>
      </c>
    </row>
    <row r="18" customFormat="false" ht="15" hidden="false" customHeight="false" outlineLevel="0" collapsed="false">
      <c r="A18" s="12" t="n">
        <v>17</v>
      </c>
      <c r="B18" s="12" t="s">
        <v>41</v>
      </c>
      <c r="C18" s="12" t="s">
        <v>89</v>
      </c>
      <c r="D18" s="12" t="s">
        <v>90</v>
      </c>
      <c r="E18" s="12" t="s">
        <v>44</v>
      </c>
      <c r="F18" s="12" t="s">
        <v>89</v>
      </c>
      <c r="G18" s="12"/>
      <c r="H18" s="13"/>
      <c r="I18" s="13"/>
      <c r="J18" s="12" t="str">
        <f aca="false">IF(H18="",E18,H18)</f>
        <v>Keep</v>
      </c>
      <c r="K18" s="12" t="str">
        <f aca="false">IF(J18="410","",IF(J18="404","",IF(I18&lt;&gt;"",I18,F18)))</f>
        <v>/contact/</v>
      </c>
      <c r="L18" s="14"/>
      <c r="M18" s="14"/>
      <c r="N18" s="12" t="s">
        <v>46</v>
      </c>
    </row>
    <row r="19" customFormat="false" ht="15" hidden="false" customHeight="false" outlineLevel="0" collapsed="false">
      <c r="A19" s="12" t="n">
        <v>18</v>
      </c>
      <c r="B19" s="12" t="s">
        <v>91</v>
      </c>
      <c r="C19" s="12" t="s">
        <v>92</v>
      </c>
      <c r="D19" s="12" t="s">
        <v>93</v>
      </c>
      <c r="E19" s="12" t="s">
        <v>44</v>
      </c>
      <c r="F19" s="12" t="s">
        <v>92</v>
      </c>
      <c r="G19" s="12"/>
      <c r="H19" s="13"/>
      <c r="I19" s="13"/>
      <c r="J19" s="12" t="str">
        <f aca="false">IF(H19="",E19,H19)</f>
        <v>Keep</v>
      </c>
      <c r="K19" s="12" t="str">
        <f aca="false">IF(J19="410","",IF(J19="404","",IF(I19&lt;&gt;"",I19,F19)))</f>
        <v>/articles/how-to-design-a-shopify-website-2026/</v>
      </c>
      <c r="L19" s="14"/>
      <c r="M19" s="14"/>
      <c r="N19" s="12" t="s">
        <v>46</v>
      </c>
    </row>
    <row r="20" customFormat="false" ht="15" hidden="false" customHeight="false" outlineLevel="0" collapsed="false">
      <c r="A20" s="12" t="n">
        <v>19</v>
      </c>
      <c r="B20" s="12" t="s">
        <v>91</v>
      </c>
      <c r="C20" s="12" t="s">
        <v>94</v>
      </c>
      <c r="D20" s="12" t="s">
        <v>95</v>
      </c>
      <c r="E20" s="12" t="s">
        <v>44</v>
      </c>
      <c r="F20" s="12" t="s">
        <v>94</v>
      </c>
      <c r="G20" s="12"/>
      <c r="H20" s="13"/>
      <c r="I20" s="13"/>
      <c r="J20" s="12" t="str">
        <f aca="false">IF(H20="",E20,H20)</f>
        <v>Keep</v>
      </c>
      <c r="K20" s="12" t="str">
        <f aca="false">IF(J20="410","",IF(J20="404","",IF(I20&lt;&gt;"",I20,F20)))</f>
        <v>/articles/what-to-look-for-hiring-shopify-designer/</v>
      </c>
      <c r="L20" s="14"/>
      <c r="M20" s="14"/>
      <c r="N20" s="12" t="s">
        <v>46</v>
      </c>
    </row>
    <row r="21" customFormat="false" ht="15" hidden="false" customHeight="false" outlineLevel="0" collapsed="false">
      <c r="A21" s="12" t="n">
        <v>20</v>
      </c>
      <c r="B21" s="12" t="s">
        <v>91</v>
      </c>
      <c r="C21" s="12" t="s">
        <v>96</v>
      </c>
      <c r="D21" s="12" t="s">
        <v>97</v>
      </c>
      <c r="E21" s="12" t="s">
        <v>44</v>
      </c>
      <c r="F21" s="12" t="s">
        <v>96</v>
      </c>
      <c r="G21" s="12"/>
      <c r="H21" s="13"/>
      <c r="I21" s="13"/>
      <c r="J21" s="12" t="str">
        <f aca="false">IF(H21="",E21,H21)</f>
        <v>Keep</v>
      </c>
      <c r="K21" s="12" t="str">
        <f aca="false">IF(J21="410","",IF(J21="404","",IF(I21&lt;&gt;"",I21,F21)))</f>
        <v>/articles/shopify-product-card-design/</v>
      </c>
      <c r="L21" s="14"/>
      <c r="M21" s="14"/>
      <c r="N21" s="12" t="s">
        <v>46</v>
      </c>
    </row>
    <row r="22" customFormat="false" ht="23.85" hidden="false" customHeight="false" outlineLevel="0" collapsed="false">
      <c r="A22" s="12" t="n">
        <v>21</v>
      </c>
      <c r="B22" s="12" t="s">
        <v>91</v>
      </c>
      <c r="C22" s="12" t="s">
        <v>98</v>
      </c>
      <c r="D22" s="12" t="s">
        <v>99</v>
      </c>
      <c r="E22" s="12" t="s">
        <v>44</v>
      </c>
      <c r="F22" s="12" t="s">
        <v>98</v>
      </c>
      <c r="G22" s="12" t="s">
        <v>100</v>
      </c>
      <c r="H22" s="13"/>
      <c r="I22" s="13"/>
      <c r="J22" s="12" t="str">
        <f aca="false">IF(H22="",E22,H22)</f>
        <v>Keep</v>
      </c>
      <c r="K22" s="12" t="str">
        <f aca="false">IF(J22="410","",IF(J22="404","",IF(I22&lt;&gt;"",I22,F22)))</f>
        <v>/articles/voice-search-optimisation-for-shopify-stores-a-complete-2025-guide/</v>
      </c>
      <c r="L22" s="14"/>
      <c r="M22" s="14"/>
      <c r="N22" s="12" t="s">
        <v>46</v>
      </c>
    </row>
    <row r="23" customFormat="false" ht="15" hidden="false" customHeight="false" outlineLevel="0" collapsed="false">
      <c r="A23" s="12" t="n">
        <v>22</v>
      </c>
      <c r="B23" s="12" t="s">
        <v>91</v>
      </c>
      <c r="C23" s="12" t="s">
        <v>101</v>
      </c>
      <c r="D23" s="12" t="s">
        <v>102</v>
      </c>
      <c r="E23" s="12" t="s">
        <v>44</v>
      </c>
      <c r="F23" s="12" t="s">
        <v>101</v>
      </c>
      <c r="G23" s="12"/>
      <c r="H23" s="13"/>
      <c r="I23" s="13"/>
      <c r="J23" s="12" t="str">
        <f aca="false">IF(H23="",E23,H23)</f>
        <v>Keep</v>
      </c>
      <c r="K23" s="12" t="str">
        <f aca="false">IF(J23="410","",IF(J23="404","",IF(I23&lt;&gt;"",I23,F23)))</f>
        <v>/articles/shopify-agentic-storefronts/</v>
      </c>
      <c r="L23" s="14"/>
      <c r="M23" s="14"/>
      <c r="N23" s="12" t="s">
        <v>46</v>
      </c>
    </row>
    <row r="24" customFormat="false" ht="15" hidden="false" customHeight="false" outlineLevel="0" collapsed="false">
      <c r="A24" s="12" t="n">
        <v>23</v>
      </c>
      <c r="B24" s="12" t="s">
        <v>91</v>
      </c>
      <c r="C24" s="12" t="s">
        <v>103</v>
      </c>
      <c r="D24" s="12" t="s">
        <v>104</v>
      </c>
      <c r="E24" s="12" t="s">
        <v>44</v>
      </c>
      <c r="F24" s="12" t="s">
        <v>103</v>
      </c>
      <c r="G24" s="12"/>
      <c r="H24" s="13"/>
      <c r="I24" s="13"/>
      <c r="J24" s="12" t="str">
        <f aca="false">IF(H24="",E24,H24)</f>
        <v>Keep</v>
      </c>
      <c r="K24" s="12" t="str">
        <f aca="false">IF(J24="410","",IF(J24="404","",IF(I24&lt;&gt;"",I24,F24)))</f>
        <v>/articles/generative-engine-optimisation-shopify/</v>
      </c>
      <c r="L24" s="14"/>
      <c r="M24" s="14"/>
      <c r="N24" s="12" t="s">
        <v>46</v>
      </c>
    </row>
    <row r="25" customFormat="false" ht="15" hidden="false" customHeight="false" outlineLevel="0" collapsed="false">
      <c r="A25" s="12" t="n">
        <v>24</v>
      </c>
      <c r="B25" s="12" t="s">
        <v>91</v>
      </c>
      <c r="C25" s="12" t="s">
        <v>105</v>
      </c>
      <c r="D25" s="12" t="s">
        <v>106</v>
      </c>
      <c r="E25" s="12" t="s">
        <v>44</v>
      </c>
      <c r="F25" s="12" t="s">
        <v>105</v>
      </c>
      <c r="G25" s="12"/>
      <c r="H25" s="13"/>
      <c r="I25" s="13"/>
      <c r="J25" s="12" t="str">
        <f aca="false">IF(H25="",E25,H25)</f>
        <v>Keep</v>
      </c>
      <c r="K25" s="12" t="str">
        <f aca="false">IF(J25="410","",IF(J25="404","",IF(I25&lt;&gt;"",I25,F25)))</f>
        <v>/articles/shortlisted-uk-ecommerce-awards-2026/</v>
      </c>
      <c r="L25" s="14"/>
      <c r="M25" s="14"/>
      <c r="N25" s="12" t="s">
        <v>46</v>
      </c>
    </row>
    <row r="26" customFormat="false" ht="23.85" hidden="false" customHeight="false" outlineLevel="0" collapsed="false">
      <c r="A26" s="12" t="n">
        <v>25</v>
      </c>
      <c r="B26" s="12" t="s">
        <v>91</v>
      </c>
      <c r="C26" s="12" t="s">
        <v>107</v>
      </c>
      <c r="D26" s="12" t="s">
        <v>108</v>
      </c>
      <c r="E26" s="12" t="s">
        <v>44</v>
      </c>
      <c r="F26" s="12" t="s">
        <v>107</v>
      </c>
      <c r="G26" s="12" t="s">
        <v>109</v>
      </c>
      <c r="H26" s="13"/>
      <c r="I26" s="13"/>
      <c r="J26" s="12" t="str">
        <f aca="false">IF(H26="",E26,H26)</f>
        <v>Keep</v>
      </c>
      <c r="K26" s="12" t="str">
        <f aca="false">IF(J26="410","",IF(J26="404","",IF(I26&lt;&gt;"",I26,F26)))</f>
        <v>/articles/25-biggest-brands-using-shopify-in-2025/</v>
      </c>
      <c r="L26" s="14"/>
      <c r="M26" s="14"/>
      <c r="N26" s="12" t="s">
        <v>46</v>
      </c>
    </row>
    <row r="27" customFormat="false" ht="15" hidden="false" customHeight="false" outlineLevel="0" collapsed="false">
      <c r="A27" s="12" t="n">
        <v>26</v>
      </c>
      <c r="B27" s="12" t="s">
        <v>91</v>
      </c>
      <c r="C27" s="12" t="s">
        <v>110</v>
      </c>
      <c r="D27" s="12" t="s">
        <v>111</v>
      </c>
      <c r="E27" s="12" t="s">
        <v>44</v>
      </c>
      <c r="F27" s="12" t="s">
        <v>110</v>
      </c>
      <c r="G27" s="12"/>
      <c r="H27" s="13"/>
      <c r="I27" s="13"/>
      <c r="J27" s="12" t="str">
        <f aca="false">IF(H27="",E27,H27)</f>
        <v>Keep</v>
      </c>
      <c r="K27" s="12" t="str">
        <f aca="false">IF(J27="410","",IF(J27="404","",IF(I27&lt;&gt;"",I27,F27)))</f>
        <v>/articles/good-conversion-rate-shopify/</v>
      </c>
      <c r="L27" s="14"/>
      <c r="M27" s="14"/>
      <c r="N27" s="12" t="s">
        <v>46</v>
      </c>
    </row>
    <row r="28" customFormat="false" ht="23.85" hidden="false" customHeight="false" outlineLevel="0" collapsed="false">
      <c r="A28" s="12" t="n">
        <v>27</v>
      </c>
      <c r="B28" s="12" t="s">
        <v>91</v>
      </c>
      <c r="C28" s="12" t="s">
        <v>112</v>
      </c>
      <c r="D28" s="12" t="s">
        <v>113</v>
      </c>
      <c r="E28" s="12" t="s">
        <v>44</v>
      </c>
      <c r="F28" s="12" t="s">
        <v>112</v>
      </c>
      <c r="G28" s="12"/>
      <c r="H28" s="13"/>
      <c r="I28" s="13"/>
      <c r="J28" s="12" t="str">
        <f aca="false">IF(H28="",E28,H28)</f>
        <v>Keep</v>
      </c>
      <c r="K28" s="12" t="str">
        <f aca="false">IF(J28="410","",IF(J28="404","",IF(I28&lt;&gt;"",I28,F28)))</f>
        <v>/articles/how-to-increase-conversion-rates-on-your-shopify-store/</v>
      </c>
      <c r="L28" s="14"/>
      <c r="M28" s="14"/>
      <c r="N28" s="12" t="s">
        <v>46</v>
      </c>
    </row>
    <row r="29" customFormat="false" ht="23.85" hidden="false" customHeight="false" outlineLevel="0" collapsed="false">
      <c r="A29" s="12" t="n">
        <v>28</v>
      </c>
      <c r="B29" s="12" t="s">
        <v>91</v>
      </c>
      <c r="C29" s="12" t="s">
        <v>114</v>
      </c>
      <c r="D29" s="12" t="s">
        <v>115</v>
      </c>
      <c r="E29" s="12" t="s">
        <v>44</v>
      </c>
      <c r="F29" s="12" t="s">
        <v>114</v>
      </c>
      <c r="G29" s="12"/>
      <c r="H29" s="13"/>
      <c r="I29" s="13"/>
      <c r="J29" s="12" t="str">
        <f aca="false">IF(H29="",E29,H29)</f>
        <v>Keep</v>
      </c>
      <c r="K29" s="12" t="str">
        <f aca="false">IF(J29="410","",IF(J29="404","",IF(I29&lt;&gt;"",I29,F29)))</f>
        <v>/articles/strategies-for-your-homeware-lifestyle-shopify-store/</v>
      </c>
      <c r="L29" s="14"/>
      <c r="M29" s="14"/>
      <c r="N29" s="12" t="s">
        <v>46</v>
      </c>
    </row>
    <row r="30" customFormat="false" ht="15" hidden="false" customHeight="false" outlineLevel="0" collapsed="false">
      <c r="A30" s="12" t="n">
        <v>29</v>
      </c>
      <c r="B30" s="12" t="s">
        <v>91</v>
      </c>
      <c r="C30" s="12" t="s">
        <v>116</v>
      </c>
      <c r="D30" s="12" t="s">
        <v>117</v>
      </c>
      <c r="E30" s="12" t="s">
        <v>44</v>
      </c>
      <c r="F30" s="12" t="s">
        <v>116</v>
      </c>
      <c r="G30" s="12"/>
      <c r="H30" s="13"/>
      <c r="I30" s="13"/>
      <c r="J30" s="12" t="str">
        <f aca="false">IF(H30="",E30,H30)</f>
        <v>Keep</v>
      </c>
      <c r="K30" s="12" t="str">
        <f aca="false">IF(J30="410","",IF(J30="404","",IF(I30&lt;&gt;"",I30,F30)))</f>
        <v>/articles/microinteractions-in-shopify-website-design/</v>
      </c>
      <c r="L30" s="14"/>
      <c r="M30" s="14"/>
      <c r="N30" s="12" t="s">
        <v>46</v>
      </c>
    </row>
    <row r="31" customFormat="false" ht="15" hidden="false" customHeight="false" outlineLevel="0" collapsed="false">
      <c r="A31" s="12" t="n">
        <v>30</v>
      </c>
      <c r="B31" s="12" t="s">
        <v>91</v>
      </c>
      <c r="C31" s="12" t="s">
        <v>118</v>
      </c>
      <c r="D31" s="12" t="s">
        <v>119</v>
      </c>
      <c r="E31" s="12" t="s">
        <v>44</v>
      </c>
      <c r="F31" s="12" t="s">
        <v>118</v>
      </c>
      <c r="G31" s="12" t="s">
        <v>120</v>
      </c>
      <c r="H31" s="13"/>
      <c r="I31" s="13"/>
      <c r="J31" s="12" t="str">
        <f aca="false">IF(H31="",E31,H31)</f>
        <v>Keep</v>
      </c>
      <c r="K31" s="12" t="str">
        <f aca="false">IF(J31="410","",IF(J31="404","",IF(I31&lt;&gt;"",I31,F31)))</f>
        <v>/articles/shopify-vs-shopify-plus/</v>
      </c>
      <c r="L31" s="14"/>
      <c r="M31" s="14"/>
      <c r="N31" s="12" t="s">
        <v>46</v>
      </c>
    </row>
    <row r="32" customFormat="false" ht="23.85" hidden="false" customHeight="false" outlineLevel="0" collapsed="false">
      <c r="A32" s="12" t="n">
        <v>31</v>
      </c>
      <c r="B32" s="12" t="s">
        <v>91</v>
      </c>
      <c r="C32" s="12" t="s">
        <v>121</v>
      </c>
      <c r="D32" s="12" t="s">
        <v>122</v>
      </c>
      <c r="E32" s="12" t="s">
        <v>44</v>
      </c>
      <c r="F32" s="12" t="s">
        <v>121</v>
      </c>
      <c r="G32" s="12" t="s">
        <v>100</v>
      </c>
      <c r="H32" s="13"/>
      <c r="I32" s="13"/>
      <c r="J32" s="12" t="str">
        <f aca="false">IF(H32="",E32,H32)</f>
        <v>Keep</v>
      </c>
      <c r="K32" s="12" t="str">
        <f aca="false">IF(J32="410","",IF(J32="404","",IF(I32&lt;&gt;"",I32,F32)))</f>
        <v>/articles/why-off-the-shelf-shopify-themes-hold-stores-back-in-2025/</v>
      </c>
      <c r="L32" s="14"/>
      <c r="M32" s="14"/>
      <c r="N32" s="12" t="s">
        <v>46</v>
      </c>
    </row>
    <row r="33" customFormat="false" ht="23.85" hidden="false" customHeight="false" outlineLevel="0" collapsed="false">
      <c r="A33" s="12" t="n">
        <v>32</v>
      </c>
      <c r="B33" s="12" t="s">
        <v>91</v>
      </c>
      <c r="C33" s="12" t="s">
        <v>123</v>
      </c>
      <c r="D33" s="12" t="s">
        <v>124</v>
      </c>
      <c r="E33" s="12" t="s">
        <v>44</v>
      </c>
      <c r="F33" s="12" t="s">
        <v>123</v>
      </c>
      <c r="G33" s="12"/>
      <c r="H33" s="13"/>
      <c r="I33" s="13"/>
      <c r="J33" s="12" t="str">
        <f aca="false">IF(H33="",E33,H33)</f>
        <v>Keep</v>
      </c>
      <c r="K33" s="12" t="str">
        <f aca="false">IF(J33="410","",IF(J33="404","",IF(I33&lt;&gt;"",I33,F33)))</f>
        <v>/articles/product-comparisons-for-shopify-stores-how-better-ux-boosts-conversions/</v>
      </c>
      <c r="L33" s="14"/>
      <c r="M33" s="14"/>
      <c r="N33" s="12" t="s">
        <v>46</v>
      </c>
    </row>
    <row r="34" customFormat="false" ht="23.85" hidden="false" customHeight="false" outlineLevel="0" collapsed="false">
      <c r="A34" s="12" t="n">
        <v>33</v>
      </c>
      <c r="B34" s="12" t="s">
        <v>91</v>
      </c>
      <c r="C34" s="12" t="s">
        <v>125</v>
      </c>
      <c r="D34" s="12" t="s">
        <v>126</v>
      </c>
      <c r="E34" s="12" t="s">
        <v>44</v>
      </c>
      <c r="F34" s="12" t="s">
        <v>125</v>
      </c>
      <c r="G34" s="12" t="s">
        <v>100</v>
      </c>
      <c r="H34" s="13"/>
      <c r="I34" s="13"/>
      <c r="J34" s="12" t="str">
        <f aca="false">IF(H34="",E34,H34)</f>
        <v>Keep</v>
      </c>
      <c r="K34" s="12" t="str">
        <f aca="false">IF(J34="410","",IF(J34="404","",IF(I34&lt;&gt;"",I34,F34)))</f>
        <v>/articles/shopify-collabs-in-2025-harnessing-the-creator-economy-for-growth/</v>
      </c>
      <c r="L34" s="14"/>
      <c r="M34" s="14"/>
      <c r="N34" s="12" t="s">
        <v>46</v>
      </c>
    </row>
    <row r="35" customFormat="false" ht="15" hidden="false" customHeight="false" outlineLevel="0" collapsed="false">
      <c r="A35" s="12" t="n">
        <v>34</v>
      </c>
      <c r="B35" s="12" t="s">
        <v>91</v>
      </c>
      <c r="C35" s="12" t="s">
        <v>127</v>
      </c>
      <c r="D35" s="12" t="s">
        <v>128</v>
      </c>
      <c r="E35" s="12" t="s">
        <v>44</v>
      </c>
      <c r="F35" s="12" t="s">
        <v>127</v>
      </c>
      <c r="G35" s="12"/>
      <c r="H35" s="13"/>
      <c r="I35" s="13"/>
      <c r="J35" s="12" t="str">
        <f aca="false">IF(H35="",E35,H35)</f>
        <v>Keep</v>
      </c>
      <c r="K35" s="12" t="str">
        <f aca="false">IF(J35="410","",IF(J35="404","",IF(I35&lt;&gt;"",I35,F35)))</f>
        <v>/articles/what-makes-a-good-landing-page/</v>
      </c>
      <c r="L35" s="14"/>
      <c r="M35" s="14"/>
      <c r="N35" s="12" t="s">
        <v>46</v>
      </c>
    </row>
    <row r="36" customFormat="false" ht="23.85" hidden="false" customHeight="false" outlineLevel="0" collapsed="false">
      <c r="A36" s="12" t="n">
        <v>35</v>
      </c>
      <c r="B36" s="12" t="s">
        <v>91</v>
      </c>
      <c r="C36" s="12" t="s">
        <v>129</v>
      </c>
      <c r="D36" s="12" t="s">
        <v>130</v>
      </c>
      <c r="E36" s="12" t="s">
        <v>44</v>
      </c>
      <c r="F36" s="12" t="s">
        <v>129</v>
      </c>
      <c r="G36" s="12"/>
      <c r="H36" s="13"/>
      <c r="I36" s="13"/>
      <c r="J36" s="12" t="str">
        <f aca="false">IF(H36="",E36,H36)</f>
        <v>Keep</v>
      </c>
      <c r="K36" s="12" t="str">
        <f aca="false">IF(J36="410","",IF(J36="404","",IF(I36&lt;&gt;"",I36,F36)))</f>
        <v>/articles/why-conversion-rate-optimisation-is-still-a-human-skill/</v>
      </c>
      <c r="L36" s="14"/>
      <c r="M36" s="14"/>
      <c r="N36" s="12" t="s">
        <v>46</v>
      </c>
    </row>
    <row r="37" customFormat="false" ht="15" hidden="false" customHeight="false" outlineLevel="0" collapsed="false">
      <c r="A37" s="12" t="n">
        <v>36</v>
      </c>
      <c r="B37" s="12" t="s">
        <v>91</v>
      </c>
      <c r="C37" s="12" t="s">
        <v>131</v>
      </c>
      <c r="D37" s="12" t="s">
        <v>132</v>
      </c>
      <c r="E37" s="12" t="s">
        <v>44</v>
      </c>
      <c r="F37" s="12" t="s">
        <v>131</v>
      </c>
      <c r="G37" s="12"/>
      <c r="H37" s="13"/>
      <c r="I37" s="13"/>
      <c r="J37" s="12" t="str">
        <f aca="false">IF(H37="",E37,H37)</f>
        <v>Keep</v>
      </c>
      <c r="K37" s="12" t="str">
        <f aca="false">IF(J37="410","",IF(J37="404","",IF(I37&lt;&gt;"",I37,F37)))</f>
        <v>/articles/what-is-a-shopify-partner/</v>
      </c>
      <c r="L37" s="14"/>
      <c r="M37" s="14"/>
      <c r="N37" s="12" t="s">
        <v>46</v>
      </c>
    </row>
    <row r="38" customFormat="false" ht="15" hidden="false" customHeight="false" outlineLevel="0" collapsed="false">
      <c r="A38" s="12" t="n">
        <v>37</v>
      </c>
      <c r="B38" s="12" t="s">
        <v>91</v>
      </c>
      <c r="C38" s="12" t="s">
        <v>133</v>
      </c>
      <c r="D38" s="12" t="s">
        <v>134</v>
      </c>
      <c r="E38" s="12" t="s">
        <v>44</v>
      </c>
      <c r="F38" s="12" t="s">
        <v>133</v>
      </c>
      <c r="G38" s="12"/>
      <c r="H38" s="13"/>
      <c r="I38" s="13"/>
      <c r="J38" s="12" t="str">
        <f aca="false">IF(H38="",E38,H38)</f>
        <v>Keep</v>
      </c>
      <c r="K38" s="12" t="str">
        <f aca="false">IF(J38="410","",IF(J38="404","",IF(I38&lt;&gt;"",I38,F38)))</f>
        <v>/articles/benefits-of-shopify-plus/</v>
      </c>
      <c r="L38" s="14"/>
      <c r="M38" s="14"/>
      <c r="N38" s="12" t="s">
        <v>46</v>
      </c>
    </row>
    <row r="39" customFormat="false" ht="23.85" hidden="false" customHeight="false" outlineLevel="0" collapsed="false">
      <c r="A39" s="12" t="n">
        <v>38</v>
      </c>
      <c r="B39" s="12" t="s">
        <v>91</v>
      </c>
      <c r="C39" s="12" t="s">
        <v>135</v>
      </c>
      <c r="D39" s="12" t="s">
        <v>136</v>
      </c>
      <c r="E39" s="12" t="s">
        <v>44</v>
      </c>
      <c r="F39" s="12" t="s">
        <v>135</v>
      </c>
      <c r="G39" s="12"/>
      <c r="H39" s="13"/>
      <c r="I39" s="13"/>
      <c r="J39" s="12" t="str">
        <f aca="false">IF(H39="",E39,H39)</f>
        <v>Keep</v>
      </c>
      <c r="K39" s="12" t="str">
        <f aca="false">IF(J39="410","",IF(J39="404","",IF(I39&lt;&gt;"",I39,F39)))</f>
        <v>/articles/klaviyo-pricing-2026-complete-breakdown-for-shopify-stores/</v>
      </c>
      <c r="L39" s="14"/>
      <c r="M39" s="14"/>
      <c r="N39" s="12" t="s">
        <v>46</v>
      </c>
    </row>
    <row r="40" customFormat="false" ht="15" hidden="false" customHeight="false" outlineLevel="0" collapsed="false">
      <c r="A40" s="12" t="n">
        <v>39</v>
      </c>
      <c r="B40" s="12" t="s">
        <v>91</v>
      </c>
      <c r="C40" s="12" t="s">
        <v>137</v>
      </c>
      <c r="D40" s="12" t="s">
        <v>138</v>
      </c>
      <c r="E40" s="12" t="s">
        <v>44</v>
      </c>
      <c r="F40" s="12" t="s">
        <v>137</v>
      </c>
      <c r="G40" s="12"/>
      <c r="H40" s="13"/>
      <c r="I40" s="13"/>
      <c r="J40" s="12" t="str">
        <f aca="false">IF(H40="",E40,H40)</f>
        <v>Keep</v>
      </c>
      <c r="K40" s="12" t="str">
        <f aca="false">IF(J40="410","",IF(J40="404","",IF(I40&lt;&gt;"",I40,F40)))</f>
        <v>/articles/what-dtc-brands-should-look-for-shopify-designer/</v>
      </c>
      <c r="L40" s="14"/>
      <c r="M40" s="14"/>
      <c r="N40" s="12" t="s">
        <v>46</v>
      </c>
    </row>
    <row r="41" customFormat="false" ht="15" hidden="false" customHeight="false" outlineLevel="0" collapsed="false">
      <c r="A41" s="12" t="n">
        <v>40</v>
      </c>
      <c r="B41" s="12" t="s">
        <v>91</v>
      </c>
      <c r="C41" s="12" t="s">
        <v>139</v>
      </c>
      <c r="D41" s="12" t="s">
        <v>140</v>
      </c>
      <c r="E41" s="12" t="s">
        <v>44</v>
      </c>
      <c r="F41" s="12" t="s">
        <v>139</v>
      </c>
      <c r="G41" s="12"/>
      <c r="H41" s="13"/>
      <c r="I41" s="13"/>
      <c r="J41" s="12" t="str">
        <f aca="false">IF(H41="",E41,H41)</f>
        <v>Keep</v>
      </c>
      <c r="K41" s="12" t="str">
        <f aca="false">IF(J41="410","",IF(J41="404","",IF(I41&lt;&gt;"",I41,F41)))</f>
        <v>/articles/shopify-pricing-2026/</v>
      </c>
      <c r="L41" s="14"/>
      <c r="M41" s="14"/>
      <c r="N41" s="12" t="s">
        <v>46</v>
      </c>
    </row>
    <row r="42" customFormat="false" ht="15" hidden="false" customHeight="false" outlineLevel="0" collapsed="false">
      <c r="A42" s="12" t="n">
        <v>41</v>
      </c>
      <c r="B42" s="12" t="s">
        <v>91</v>
      </c>
      <c r="C42" s="12" t="s">
        <v>141</v>
      </c>
      <c r="D42" s="12" t="s">
        <v>142</v>
      </c>
      <c r="E42" s="12" t="s">
        <v>44</v>
      </c>
      <c r="F42" s="12" t="s">
        <v>141</v>
      </c>
      <c r="G42" s="12"/>
      <c r="H42" s="13"/>
      <c r="I42" s="13"/>
      <c r="J42" s="12" t="str">
        <f aca="false">IF(H42="",E42,H42)</f>
        <v>Keep</v>
      </c>
      <c r="K42" s="12" t="str">
        <f aca="false">IF(J42="410","",IF(J42="404","",IF(I42&lt;&gt;"",I42,F42)))</f>
        <v>/articles/shopify-ux-review/</v>
      </c>
      <c r="L42" s="14"/>
      <c r="M42" s="14"/>
      <c r="N42" s="12" t="s">
        <v>46</v>
      </c>
    </row>
    <row r="43" customFormat="false" ht="15" hidden="false" customHeight="false" outlineLevel="0" collapsed="false">
      <c r="A43" s="12" t="n">
        <v>42</v>
      </c>
      <c r="B43" s="12" t="s">
        <v>143</v>
      </c>
      <c r="C43" s="12" t="s">
        <v>144</v>
      </c>
      <c r="D43" s="12" t="s">
        <v>145</v>
      </c>
      <c r="E43" s="12" t="s">
        <v>44</v>
      </c>
      <c r="F43" s="12" t="s">
        <v>144</v>
      </c>
      <c r="G43" s="12"/>
      <c r="H43" s="13"/>
      <c r="I43" s="13"/>
      <c r="J43" s="12" t="str">
        <f aca="false">IF(H43="",E43,H43)</f>
        <v>Keep</v>
      </c>
      <c r="K43" s="12" t="str">
        <f aca="false">IF(J43="410","",IF(J43="404","",IF(I43&lt;&gt;"",I43,F43)))</f>
        <v>/portfolio/projektityyny-shopify-website-design-case-study/</v>
      </c>
      <c r="L43" s="14"/>
      <c r="M43" s="14"/>
      <c r="N43" s="12" t="s">
        <v>46</v>
      </c>
    </row>
    <row r="44" customFormat="false" ht="23.85" hidden="false" customHeight="false" outlineLevel="0" collapsed="false">
      <c r="A44" s="12" t="n">
        <v>43</v>
      </c>
      <c r="B44" s="12" t="s">
        <v>143</v>
      </c>
      <c r="C44" s="12" t="s">
        <v>146</v>
      </c>
      <c r="D44" s="12" t="s">
        <v>147</v>
      </c>
      <c r="E44" s="12" t="s">
        <v>44</v>
      </c>
      <c r="F44" s="12" t="s">
        <v>146</v>
      </c>
      <c r="G44" s="12"/>
      <c r="H44" s="13"/>
      <c r="I44" s="13"/>
      <c r="J44" s="12" t="str">
        <f aca="false">IF(H44="",E44,H44)</f>
        <v>Keep</v>
      </c>
      <c r="K44" s="12" t="str">
        <f aca="false">IF(J44="410","",IF(J44="404","",IF(I44&lt;&gt;"",I44,F44)))</f>
        <v>/portfolio/hartnack-and-co-shopify-website-design-case-study/</v>
      </c>
      <c r="L44" s="14"/>
      <c r="M44" s="14"/>
      <c r="N44" s="12" t="s">
        <v>46</v>
      </c>
    </row>
    <row r="45" customFormat="false" ht="15" hidden="false" customHeight="false" outlineLevel="0" collapsed="false">
      <c r="A45" s="12" t="n">
        <v>44</v>
      </c>
      <c r="B45" s="12" t="s">
        <v>143</v>
      </c>
      <c r="C45" s="12" t="s">
        <v>148</v>
      </c>
      <c r="D45" s="12" t="s">
        <v>149</v>
      </c>
      <c r="E45" s="12" t="s">
        <v>44</v>
      </c>
      <c r="F45" s="12" t="s">
        <v>148</v>
      </c>
      <c r="G45" s="12" t="s">
        <v>150</v>
      </c>
      <c r="H45" s="13"/>
      <c r="I45" s="13"/>
      <c r="J45" s="12" t="str">
        <f aca="false">IF(H45="",E45,H45)</f>
        <v>Keep</v>
      </c>
      <c r="K45" s="12" t="str">
        <f aca="false">IF(J45="410","",IF(J45="404","",IF(I45&lt;&gt;"",I45,F45)))</f>
        <v>/portfolio/east-at-home-shopify-website-design-case-study/</v>
      </c>
      <c r="L45" s="14"/>
      <c r="M45" s="14"/>
      <c r="N45" s="12" t="s">
        <v>46</v>
      </c>
    </row>
    <row r="46" customFormat="false" ht="15" hidden="false" customHeight="false" outlineLevel="0" collapsed="false">
      <c r="A46" s="12" t="n">
        <v>45</v>
      </c>
      <c r="B46" s="12" t="s">
        <v>143</v>
      </c>
      <c r="C46" s="12" t="s">
        <v>151</v>
      </c>
      <c r="D46" s="12" t="s">
        <v>152</v>
      </c>
      <c r="E46" s="12" t="s">
        <v>44</v>
      </c>
      <c r="F46" s="12" t="s">
        <v>151</v>
      </c>
      <c r="G46" s="12" t="s">
        <v>150</v>
      </c>
      <c r="H46" s="13"/>
      <c r="I46" s="13"/>
      <c r="J46" s="12" t="str">
        <f aca="false">IF(H46="",E46,H46)</f>
        <v>Keep</v>
      </c>
      <c r="K46" s="12" t="str">
        <f aca="false">IF(J46="410","",IF(J46="404","",IF(I46&lt;&gt;"",I46,F46)))</f>
        <v>/portfolio/drink-finder-shopify-website-design-case-study/</v>
      </c>
      <c r="L46" s="14"/>
      <c r="M46" s="14"/>
      <c r="N46" s="12" t="s">
        <v>46</v>
      </c>
    </row>
    <row r="47" customFormat="false" ht="15" hidden="false" customHeight="false" outlineLevel="0" collapsed="false">
      <c r="A47" s="12" t="n">
        <v>46</v>
      </c>
      <c r="B47" s="12" t="s">
        <v>143</v>
      </c>
      <c r="C47" s="12" t="s">
        <v>153</v>
      </c>
      <c r="D47" s="12" t="s">
        <v>154</v>
      </c>
      <c r="E47" s="12" t="s">
        <v>44</v>
      </c>
      <c r="F47" s="12" t="s">
        <v>153</v>
      </c>
      <c r="G47" s="12"/>
      <c r="H47" s="13"/>
      <c r="I47" s="13"/>
      <c r="J47" s="12" t="str">
        <f aca="false">IF(H47="",E47,H47)</f>
        <v>Keep</v>
      </c>
      <c r="K47" s="12" t="str">
        <f aca="false">IF(J47="410","",IF(J47="404","",IF(I47&lt;&gt;"",I47,F47)))</f>
        <v>/portfolio/fuzzball-shopify-website-design-case-study/</v>
      </c>
      <c r="L47" s="14"/>
      <c r="M47" s="14"/>
      <c r="N47" s="12" t="s">
        <v>46</v>
      </c>
    </row>
    <row r="48" customFormat="false" ht="23.85" hidden="false" customHeight="false" outlineLevel="0" collapsed="false">
      <c r="A48" s="12" t="n">
        <v>47</v>
      </c>
      <c r="B48" s="12" t="s">
        <v>143</v>
      </c>
      <c r="C48" s="12" t="s">
        <v>155</v>
      </c>
      <c r="D48" s="12" t="s">
        <v>156</v>
      </c>
      <c r="E48" s="12" t="s">
        <v>44</v>
      </c>
      <c r="F48" s="12" t="s">
        <v>155</v>
      </c>
      <c r="G48" s="12"/>
      <c r="H48" s="13"/>
      <c r="I48" s="13"/>
      <c r="J48" s="12" t="str">
        <f aca="false">IF(H48="",E48,H48)</f>
        <v>Keep</v>
      </c>
      <c r="K48" s="12" t="str">
        <f aca="false">IF(J48="410","",IF(J48="404","",IF(I48&lt;&gt;"",I48,F48)))</f>
        <v>/portfolio/thameen-london-shopify-website-design-case-study/</v>
      </c>
      <c r="L48" s="14"/>
      <c r="M48" s="14"/>
      <c r="N48" s="12" t="s">
        <v>46</v>
      </c>
    </row>
    <row r="49" customFormat="false" ht="23.85" hidden="false" customHeight="false" outlineLevel="0" collapsed="false">
      <c r="A49" s="12" t="n">
        <v>48</v>
      </c>
      <c r="B49" s="12" t="s">
        <v>143</v>
      </c>
      <c r="C49" s="12" t="s">
        <v>157</v>
      </c>
      <c r="D49" s="12" t="s">
        <v>158</v>
      </c>
      <c r="E49" s="12" t="s">
        <v>44</v>
      </c>
      <c r="F49" s="12" t="s">
        <v>157</v>
      </c>
      <c r="G49" s="12"/>
      <c r="H49" s="13"/>
      <c r="I49" s="13"/>
      <c r="J49" s="12" t="str">
        <f aca="false">IF(H49="",E49,H49)</f>
        <v>Keep</v>
      </c>
      <c r="K49" s="12" t="str">
        <f aca="false">IF(J49="410","",IF(J49="404","",IF(I49&lt;&gt;"",I49,F49)))</f>
        <v>/portfolio/whistlefish-2-0-shopify-website-design-case-study/</v>
      </c>
      <c r="L49" s="14"/>
      <c r="M49" s="14"/>
      <c r="N49" s="12" t="s">
        <v>46</v>
      </c>
    </row>
    <row r="50" customFormat="false" ht="23.85" hidden="false" customHeight="false" outlineLevel="0" collapsed="false">
      <c r="A50" s="12" t="n">
        <v>49</v>
      </c>
      <c r="B50" s="12" t="s">
        <v>143</v>
      </c>
      <c r="C50" s="12" t="s">
        <v>159</v>
      </c>
      <c r="D50" s="12" t="s">
        <v>160</v>
      </c>
      <c r="E50" s="12" t="s">
        <v>44</v>
      </c>
      <c r="F50" s="12" t="s">
        <v>159</v>
      </c>
      <c r="G50" s="12"/>
      <c r="H50" s="13"/>
      <c r="I50" s="13"/>
      <c r="J50" s="12" t="str">
        <f aca="false">IF(H50="",E50,H50)</f>
        <v>Keep</v>
      </c>
      <c r="K50" s="12" t="str">
        <f aca="false">IF(J50="410","",IF(J50="404","",IF(I50&lt;&gt;"",I50,F50)))</f>
        <v>/portfolio/east-west-apparel-shopify-website-design-case-study/</v>
      </c>
      <c r="L50" s="14"/>
      <c r="M50" s="14"/>
      <c r="N50" s="12" t="s">
        <v>46</v>
      </c>
    </row>
    <row r="51" customFormat="false" ht="15" hidden="false" customHeight="false" outlineLevel="0" collapsed="false">
      <c r="A51" s="12" t="n">
        <v>50</v>
      </c>
      <c r="B51" s="12" t="s">
        <v>143</v>
      </c>
      <c r="C51" s="12" t="s">
        <v>161</v>
      </c>
      <c r="D51" s="12" t="s">
        <v>162</v>
      </c>
      <c r="E51" s="12" t="s">
        <v>44</v>
      </c>
      <c r="F51" s="12" t="s">
        <v>161</v>
      </c>
      <c r="G51" s="12" t="s">
        <v>163</v>
      </c>
      <c r="H51" s="13"/>
      <c r="I51" s="13"/>
      <c r="J51" s="12" t="str">
        <f aca="false">IF(H51="",E51,H51)</f>
        <v>Keep</v>
      </c>
      <c r="K51" s="12" t="str">
        <f aca="false">IF(J51="410","",IF(J51="404","",IF(I51&lt;&gt;"",I51,F51)))</f>
        <v>/portfolio/window-fleur-shopify-case-study/</v>
      </c>
      <c r="L51" s="14"/>
      <c r="M51" s="14"/>
      <c r="N51" s="12" t="s">
        <v>46</v>
      </c>
    </row>
    <row r="52" customFormat="false" ht="15" hidden="false" customHeight="false" outlineLevel="0" collapsed="false">
      <c r="A52" s="12" t="n">
        <v>51</v>
      </c>
      <c r="B52" s="12" t="s">
        <v>143</v>
      </c>
      <c r="C52" s="12" t="s">
        <v>164</v>
      </c>
      <c r="D52" s="12" t="s">
        <v>165</v>
      </c>
      <c r="E52" s="12" t="s">
        <v>44</v>
      </c>
      <c r="F52" s="12" t="s">
        <v>164</v>
      </c>
      <c r="G52" s="12" t="s">
        <v>163</v>
      </c>
      <c r="H52" s="13"/>
      <c r="I52" s="13"/>
      <c r="J52" s="12" t="str">
        <f aca="false">IF(H52="",E52,H52)</f>
        <v>Keep</v>
      </c>
      <c r="K52" s="12" t="str">
        <f aca="false">IF(J52="410","",IF(J52="404","",IF(I52&lt;&gt;"",I52,F52)))</f>
        <v>/portfolio/wide-fit-shoes-shopify-case-study/</v>
      </c>
      <c r="L52" s="14"/>
      <c r="M52" s="14"/>
      <c r="N52" s="12" t="s">
        <v>46</v>
      </c>
    </row>
    <row r="53" customFormat="false" ht="15" hidden="false" customHeight="false" outlineLevel="0" collapsed="false">
      <c r="A53" s="12" t="n">
        <v>52</v>
      </c>
      <c r="B53" s="12" t="s">
        <v>143</v>
      </c>
      <c r="C53" s="12" t="s">
        <v>166</v>
      </c>
      <c r="D53" s="12" t="s">
        <v>167</v>
      </c>
      <c r="E53" s="12" t="s">
        <v>44</v>
      </c>
      <c r="F53" s="12" t="s">
        <v>166</v>
      </c>
      <c r="G53" s="12" t="s">
        <v>163</v>
      </c>
      <c r="H53" s="13"/>
      <c r="I53" s="13"/>
      <c r="J53" s="12" t="str">
        <f aca="false">IF(H53="",E53,H53)</f>
        <v>Keep</v>
      </c>
      <c r="K53" s="12" t="str">
        <f aca="false">IF(J53="410","",IF(J53="404","",IF(I53&lt;&gt;"",I53,F53)))</f>
        <v>/portfolio/dr-lipp-shopify-website-case-study/</v>
      </c>
      <c r="L53" s="14"/>
      <c r="M53" s="14"/>
      <c r="N53" s="12" t="s">
        <v>46</v>
      </c>
    </row>
    <row r="54" customFormat="false" ht="23.85" hidden="false" customHeight="false" outlineLevel="0" collapsed="false">
      <c r="A54" s="12" t="n">
        <v>53</v>
      </c>
      <c r="B54" s="12" t="s">
        <v>143</v>
      </c>
      <c r="C54" s="12" t="s">
        <v>168</v>
      </c>
      <c r="D54" s="12" t="s">
        <v>169</v>
      </c>
      <c r="E54" s="12" t="s">
        <v>67</v>
      </c>
      <c r="F54" s="12" t="s">
        <v>157</v>
      </c>
      <c r="G54" s="12" t="s">
        <v>170</v>
      </c>
      <c r="H54" s="13"/>
      <c r="I54" s="13"/>
      <c r="J54" s="12" t="str">
        <f aca="false">IF(H54="",E54,H54)</f>
        <v>Decide</v>
      </c>
      <c r="K54" s="12" t="str">
        <f aca="false">IF(J54="410","",IF(J54="404","",IF(I54&lt;&gt;"",I54,F54)))</f>
        <v>/portfolio/whistlefish-2-0-shopify-website-design-case-study/</v>
      </c>
      <c r="L54" s="14"/>
      <c r="M54" s="14"/>
      <c r="N54" s="12" t="s">
        <v>46</v>
      </c>
    </row>
    <row r="55" customFormat="false" ht="23.85" hidden="false" customHeight="false" outlineLevel="0" collapsed="false">
      <c r="A55" s="12" t="n">
        <v>54</v>
      </c>
      <c r="B55" s="12" t="s">
        <v>143</v>
      </c>
      <c r="C55" s="12" t="s">
        <v>171</v>
      </c>
      <c r="D55" s="12" t="s">
        <v>172</v>
      </c>
      <c r="E55" s="12" t="s">
        <v>67</v>
      </c>
      <c r="F55" s="12" t="s">
        <v>81</v>
      </c>
      <c r="G55" s="12" t="s">
        <v>173</v>
      </c>
      <c r="H55" s="13"/>
      <c r="I55" s="13"/>
      <c r="J55" s="12" t="str">
        <f aca="false">IF(H55="",E55,H55)</f>
        <v>Decide</v>
      </c>
      <c r="K55" s="12" t="str">
        <f aca="false">IF(J55="410","",IF(J55="404","",IF(I55&lt;&gt;"",I55,F55)))</f>
        <v>/work/</v>
      </c>
      <c r="L55" s="14"/>
      <c r="M55" s="14"/>
      <c r="N55" s="12" t="s">
        <v>46</v>
      </c>
    </row>
    <row r="56" customFormat="false" ht="15" hidden="false" customHeight="false" outlineLevel="0" collapsed="false">
      <c r="A56" s="12" t="n">
        <v>55</v>
      </c>
      <c r="B56" s="12" t="s">
        <v>143</v>
      </c>
      <c r="C56" s="12" t="s">
        <v>174</v>
      </c>
      <c r="D56" s="12" t="s">
        <v>175</v>
      </c>
      <c r="E56" s="12" t="s">
        <v>67</v>
      </c>
      <c r="F56" s="12" t="s">
        <v>81</v>
      </c>
      <c r="G56" s="12" t="s">
        <v>176</v>
      </c>
      <c r="H56" s="13"/>
      <c r="I56" s="13"/>
      <c r="J56" s="12" t="str">
        <f aca="false">IF(H56="",E56,H56)</f>
        <v>Decide</v>
      </c>
      <c r="K56" s="12" t="str">
        <f aca="false">IF(J56="410","",IF(J56="404","",IF(I56&lt;&gt;"",I56,F56)))</f>
        <v>/work/</v>
      </c>
      <c r="L56" s="14"/>
      <c r="M56" s="14"/>
      <c r="N56" s="12" t="s">
        <v>46</v>
      </c>
    </row>
    <row r="57" customFormat="false" ht="15" hidden="false" customHeight="false" outlineLevel="0" collapsed="false">
      <c r="A57" s="12" t="n">
        <v>56</v>
      </c>
      <c r="B57" s="12" t="s">
        <v>143</v>
      </c>
      <c r="C57" s="12" t="s">
        <v>177</v>
      </c>
      <c r="D57" s="12" t="s">
        <v>178</v>
      </c>
      <c r="E57" s="12" t="s">
        <v>67</v>
      </c>
      <c r="F57" s="12" t="s">
        <v>81</v>
      </c>
      <c r="G57" s="12" t="s">
        <v>179</v>
      </c>
      <c r="H57" s="13"/>
      <c r="I57" s="13"/>
      <c r="J57" s="12" t="str">
        <f aca="false">IF(H57="",E57,H57)</f>
        <v>Decide</v>
      </c>
      <c r="K57" s="12" t="str">
        <f aca="false">IF(J57="410","",IF(J57="404","",IF(I57&lt;&gt;"",I57,F57)))</f>
        <v>/work/</v>
      </c>
      <c r="L57" s="14"/>
      <c r="M57" s="14"/>
      <c r="N57" s="12" t="s">
        <v>46</v>
      </c>
    </row>
    <row r="58" customFormat="false" ht="15" hidden="false" customHeight="false" outlineLevel="0" collapsed="false">
      <c r="A58" s="12" t="n">
        <v>57</v>
      </c>
      <c r="B58" s="12" t="s">
        <v>143</v>
      </c>
      <c r="C58" s="12" t="s">
        <v>180</v>
      </c>
      <c r="D58" s="12" t="s">
        <v>181</v>
      </c>
      <c r="E58" s="12" t="s">
        <v>67</v>
      </c>
      <c r="F58" s="12" t="s">
        <v>81</v>
      </c>
      <c r="G58" s="12" t="s">
        <v>179</v>
      </c>
      <c r="H58" s="13"/>
      <c r="I58" s="13"/>
      <c r="J58" s="12" t="str">
        <f aca="false">IF(H58="",E58,H58)</f>
        <v>Decide</v>
      </c>
      <c r="K58" s="12" t="str">
        <f aca="false">IF(J58="410","",IF(J58="404","",IF(I58&lt;&gt;"",I58,F58)))</f>
        <v>/work/</v>
      </c>
      <c r="L58" s="14"/>
      <c r="M58" s="14"/>
      <c r="N58" s="12" t="s">
        <v>46</v>
      </c>
    </row>
    <row r="59" customFormat="false" ht="23.85" hidden="false" customHeight="false" outlineLevel="0" collapsed="false">
      <c r="A59" s="12" t="n">
        <v>58</v>
      </c>
      <c r="B59" s="12" t="s">
        <v>143</v>
      </c>
      <c r="C59" s="12" t="s">
        <v>182</v>
      </c>
      <c r="D59" s="12" t="s">
        <v>183</v>
      </c>
      <c r="E59" s="12" t="s">
        <v>67</v>
      </c>
      <c r="F59" s="12" t="s">
        <v>69</v>
      </c>
      <c r="G59" s="12" t="s">
        <v>184</v>
      </c>
      <c r="H59" s="13"/>
      <c r="I59" s="13"/>
      <c r="J59" s="12" t="str">
        <f aca="false">IF(H59="",E59,H59)</f>
        <v>Decide</v>
      </c>
      <c r="K59" s="12" t="str">
        <f aca="false">IF(J59="410","",IF(J59="404","",IF(I59&lt;&gt;"",I59,F59)))</f>
        <v>/freelance-brand-designer/</v>
      </c>
      <c r="L59" s="14"/>
      <c r="M59" s="14"/>
      <c r="N59" s="12" t="s">
        <v>46</v>
      </c>
    </row>
    <row r="60" customFormat="false" ht="23.85" hidden="false" customHeight="false" outlineLevel="0" collapsed="false">
      <c r="A60" s="12" t="n">
        <v>59</v>
      </c>
      <c r="B60" s="12" t="s">
        <v>143</v>
      </c>
      <c r="C60" s="12" t="s">
        <v>185</v>
      </c>
      <c r="D60" s="12" t="s">
        <v>186</v>
      </c>
      <c r="E60" s="12" t="s">
        <v>67</v>
      </c>
      <c r="F60" s="12" t="s">
        <v>69</v>
      </c>
      <c r="G60" s="12" t="s">
        <v>184</v>
      </c>
      <c r="H60" s="13"/>
      <c r="I60" s="13"/>
      <c r="J60" s="12" t="str">
        <f aca="false">IF(H60="",E60,H60)</f>
        <v>Decide</v>
      </c>
      <c r="K60" s="12" t="str">
        <f aca="false">IF(J60="410","",IF(J60="404","",IF(I60&lt;&gt;"",I60,F60)))</f>
        <v>/freelance-brand-designer/</v>
      </c>
      <c r="L60" s="14"/>
      <c r="M60" s="14"/>
      <c r="N60" s="12" t="s">
        <v>46</v>
      </c>
    </row>
    <row r="61" customFormat="false" ht="23.85" hidden="false" customHeight="false" outlineLevel="0" collapsed="false">
      <c r="A61" s="12" t="n">
        <v>60</v>
      </c>
      <c r="B61" s="12" t="s">
        <v>143</v>
      </c>
      <c r="C61" s="12" t="s">
        <v>187</v>
      </c>
      <c r="D61" s="12" t="s">
        <v>188</v>
      </c>
      <c r="E61" s="12" t="s">
        <v>67</v>
      </c>
      <c r="F61" s="12" t="s">
        <v>69</v>
      </c>
      <c r="G61" s="12" t="s">
        <v>184</v>
      </c>
      <c r="H61" s="13"/>
      <c r="I61" s="13"/>
      <c r="J61" s="12" t="str">
        <f aca="false">IF(H61="",E61,H61)</f>
        <v>Decide</v>
      </c>
      <c r="K61" s="12" t="str">
        <f aca="false">IF(J61="410","",IF(J61="404","",IF(I61&lt;&gt;"",I61,F61)))</f>
        <v>/freelance-brand-designer/</v>
      </c>
      <c r="L61" s="14"/>
      <c r="M61" s="14"/>
      <c r="N61" s="12" t="s">
        <v>46</v>
      </c>
    </row>
    <row r="62" customFormat="false" ht="23.85" hidden="false" customHeight="false" outlineLevel="0" collapsed="false">
      <c r="A62" s="12" t="n">
        <v>61</v>
      </c>
      <c r="B62" s="12" t="s">
        <v>143</v>
      </c>
      <c r="C62" s="12" t="s">
        <v>189</v>
      </c>
      <c r="D62" s="12" t="s">
        <v>190</v>
      </c>
      <c r="E62" s="12" t="s">
        <v>67</v>
      </c>
      <c r="F62" s="12" t="s">
        <v>69</v>
      </c>
      <c r="G62" s="12" t="s">
        <v>184</v>
      </c>
      <c r="H62" s="13"/>
      <c r="I62" s="13"/>
      <c r="J62" s="12" t="str">
        <f aca="false">IF(H62="",E62,H62)</f>
        <v>Decide</v>
      </c>
      <c r="K62" s="12" t="str">
        <f aca="false">IF(J62="410","",IF(J62="404","",IF(I62&lt;&gt;"",I62,F62)))</f>
        <v>/freelance-brand-designer/</v>
      </c>
      <c r="L62" s="14"/>
      <c r="M62" s="14"/>
      <c r="N62" s="12" t="s">
        <v>46</v>
      </c>
    </row>
    <row r="63" customFormat="false" ht="15" hidden="false" customHeight="false" outlineLevel="0" collapsed="false">
      <c r="A63" s="12" t="n">
        <v>62</v>
      </c>
      <c r="B63" s="12" t="s">
        <v>143</v>
      </c>
      <c r="C63" s="12" t="s">
        <v>191</v>
      </c>
      <c r="D63" s="12" t="s">
        <v>192</v>
      </c>
      <c r="E63" s="12" t="s">
        <v>67</v>
      </c>
      <c r="F63" s="12" t="s">
        <v>81</v>
      </c>
      <c r="G63" s="12" t="s">
        <v>193</v>
      </c>
      <c r="H63" s="13"/>
      <c r="I63" s="13"/>
      <c r="J63" s="12" t="str">
        <f aca="false">IF(H63="",E63,H63)</f>
        <v>Decide</v>
      </c>
      <c r="K63" s="12" t="str">
        <f aca="false">IF(J63="410","",IF(J63="404","",IF(I63&lt;&gt;"",I63,F63)))</f>
        <v>/work/</v>
      </c>
      <c r="L63" s="14"/>
      <c r="M63" s="14"/>
      <c r="N63" s="12" t="s">
        <v>46</v>
      </c>
    </row>
    <row r="64" customFormat="false" ht="15" hidden="false" customHeight="false" outlineLevel="0" collapsed="false">
      <c r="A64" s="12" t="n">
        <v>63</v>
      </c>
      <c r="B64" s="12" t="s">
        <v>143</v>
      </c>
      <c r="C64" s="12" t="s">
        <v>194</v>
      </c>
      <c r="D64" s="12" t="s">
        <v>195</v>
      </c>
      <c r="E64" s="12" t="s">
        <v>67</v>
      </c>
      <c r="F64" s="12" t="s">
        <v>81</v>
      </c>
      <c r="G64" s="12" t="s">
        <v>193</v>
      </c>
      <c r="H64" s="13"/>
      <c r="I64" s="13"/>
      <c r="J64" s="12" t="str">
        <f aca="false">IF(H64="",E64,H64)</f>
        <v>Decide</v>
      </c>
      <c r="K64" s="12" t="str">
        <f aca="false">IF(J64="410","",IF(J64="404","",IF(I64&lt;&gt;"",I64,F64)))</f>
        <v>/work/</v>
      </c>
      <c r="L64" s="14"/>
      <c r="M64" s="14"/>
      <c r="N64" s="12" t="s">
        <v>46</v>
      </c>
    </row>
    <row r="65" customFormat="false" ht="15" hidden="false" customHeight="false" outlineLevel="0" collapsed="false">
      <c r="A65" s="12" t="n">
        <v>64</v>
      </c>
      <c r="B65" s="12" t="s">
        <v>143</v>
      </c>
      <c r="C65" s="12" t="s">
        <v>196</v>
      </c>
      <c r="D65" s="12" t="s">
        <v>197</v>
      </c>
      <c r="E65" s="12" t="s">
        <v>67</v>
      </c>
      <c r="F65" s="12" t="s">
        <v>81</v>
      </c>
      <c r="G65" s="12" t="s">
        <v>193</v>
      </c>
      <c r="H65" s="13"/>
      <c r="I65" s="13"/>
      <c r="J65" s="12" t="str">
        <f aca="false">IF(H65="",E65,H65)</f>
        <v>Decide</v>
      </c>
      <c r="K65" s="12" t="str">
        <f aca="false">IF(J65="410","",IF(J65="404","",IF(I65&lt;&gt;"",I65,F65)))</f>
        <v>/work/</v>
      </c>
      <c r="L65" s="14"/>
      <c r="M65" s="14"/>
      <c r="N65" s="12" t="s">
        <v>46</v>
      </c>
    </row>
    <row r="66" customFormat="false" ht="23.85" hidden="false" customHeight="false" outlineLevel="0" collapsed="false">
      <c r="A66" s="12" t="n">
        <v>65</v>
      </c>
      <c r="B66" s="12" t="s">
        <v>198</v>
      </c>
      <c r="C66" s="12" t="s">
        <v>199</v>
      </c>
      <c r="D66" s="12" t="s">
        <v>200</v>
      </c>
      <c r="E66" s="12" t="s">
        <v>201</v>
      </c>
      <c r="F66" s="12" t="s">
        <v>42</v>
      </c>
      <c r="G66" s="12" t="s">
        <v>202</v>
      </c>
      <c r="H66" s="13"/>
      <c r="I66" s="13"/>
      <c r="J66" s="12" t="str">
        <f aca="false">IF(H66="",E66,H66)</f>
        <v>301</v>
      </c>
      <c r="K66" s="12" t="str">
        <f aca="false">IF(J66="410","",IF(J66="404","",IF(I66&lt;&gt;"",I66,F66)))</f>
        <v>/</v>
      </c>
      <c r="L66" s="14"/>
      <c r="M66" s="14"/>
      <c r="N66" s="12" t="s">
        <v>46</v>
      </c>
    </row>
    <row r="67" customFormat="false" ht="15" hidden="false" customHeight="false" outlineLevel="0" collapsed="false">
      <c r="A67" s="12" t="n">
        <v>66</v>
      </c>
      <c r="B67" s="12" t="s">
        <v>198</v>
      </c>
      <c r="C67" s="12" t="s">
        <v>203</v>
      </c>
      <c r="D67" s="12" t="s">
        <v>204</v>
      </c>
      <c r="E67" s="12" t="s">
        <v>205</v>
      </c>
      <c r="F67" s="12"/>
      <c r="G67" s="12" t="s">
        <v>206</v>
      </c>
      <c r="H67" s="13"/>
      <c r="I67" s="13"/>
      <c r="J67" s="12" t="str">
        <f aca="false">IF(H67="",E67,H67)</f>
        <v>410</v>
      </c>
      <c r="K67" s="12" t="str">
        <f aca="false">IF(J67="410","",IF(J67="404","",IF(I67&lt;&gt;"",I67,F67)))</f>
        <v/>
      </c>
      <c r="L67" s="14"/>
      <c r="M67" s="14"/>
      <c r="N67" s="12" t="s">
        <v>46</v>
      </c>
    </row>
    <row r="68" customFormat="false" ht="15" hidden="false" customHeight="false" outlineLevel="0" collapsed="false">
      <c r="A68" s="12" t="n">
        <v>67</v>
      </c>
      <c r="B68" s="12" t="s">
        <v>198</v>
      </c>
      <c r="C68" s="12" t="s">
        <v>207</v>
      </c>
      <c r="D68" s="12" t="s">
        <v>204</v>
      </c>
      <c r="E68" s="12" t="s">
        <v>205</v>
      </c>
      <c r="F68" s="12"/>
      <c r="G68" s="12" t="s">
        <v>206</v>
      </c>
      <c r="H68" s="13"/>
      <c r="I68" s="13"/>
      <c r="J68" s="12" t="str">
        <f aca="false">IF(H68="",E68,H68)</f>
        <v>410</v>
      </c>
      <c r="K68" s="12" t="str">
        <f aca="false">IF(J68="410","",IF(J68="404","",IF(I68&lt;&gt;"",I68,F68)))</f>
        <v/>
      </c>
      <c r="L68" s="14"/>
      <c r="M68" s="14"/>
      <c r="N68" s="12" t="s">
        <v>46</v>
      </c>
    </row>
    <row r="69" customFormat="false" ht="23.85" hidden="false" customHeight="false" outlineLevel="0" collapsed="false">
      <c r="A69" s="12" t="n">
        <v>68</v>
      </c>
      <c r="B69" s="12" t="s">
        <v>198</v>
      </c>
      <c r="C69" s="12" t="s">
        <v>208</v>
      </c>
      <c r="D69" s="12" t="s">
        <v>209</v>
      </c>
      <c r="E69" s="12" t="s">
        <v>201</v>
      </c>
      <c r="F69" s="12" t="s">
        <v>81</v>
      </c>
      <c r="G69" s="12" t="s">
        <v>210</v>
      </c>
      <c r="H69" s="13"/>
      <c r="I69" s="13"/>
      <c r="J69" s="12" t="str">
        <f aca="false">IF(H69="",E69,H69)</f>
        <v>301</v>
      </c>
      <c r="K69" s="12" t="str">
        <f aca="false">IF(J69="410","",IF(J69="404","",IF(I69&lt;&gt;"",I69,F69)))</f>
        <v>/work/</v>
      </c>
      <c r="L69" s="14"/>
      <c r="M69" s="14"/>
      <c r="N69" s="12" t="s">
        <v>46</v>
      </c>
    </row>
    <row r="70" customFormat="false" ht="35.05" hidden="false" customHeight="false" outlineLevel="0" collapsed="false">
      <c r="A70" s="12" t="n">
        <v>69</v>
      </c>
      <c r="B70" s="12" t="s">
        <v>198</v>
      </c>
      <c r="C70" s="12" t="s">
        <v>211</v>
      </c>
      <c r="D70" s="12" t="s">
        <v>212</v>
      </c>
      <c r="E70" s="12" t="s">
        <v>44</v>
      </c>
      <c r="F70" s="12" t="s">
        <v>213</v>
      </c>
      <c r="G70" s="12" t="s">
        <v>214</v>
      </c>
      <c r="H70" s="13"/>
      <c r="I70" s="13"/>
      <c r="J70" s="12" t="str">
        <f aca="false">IF(H70="",E70,H70)</f>
        <v>Keep</v>
      </c>
      <c r="K70" s="12" t="str">
        <f aca="false">IF(J70="410","",IF(J70="404","",IF(I70&lt;&gt;"",I70,F70)))</f>
        <v>/articles/page/2/</v>
      </c>
      <c r="L70" s="14"/>
      <c r="M70" s="14"/>
      <c r="N70" s="12" t="s">
        <v>46</v>
      </c>
    </row>
    <row r="71" customFormat="false" ht="15" hidden="false" customHeight="false" outlineLevel="0" collapsed="false">
      <c r="A71" s="12" t="n">
        <v>70</v>
      </c>
      <c r="B71" s="12" t="s">
        <v>198</v>
      </c>
      <c r="C71" s="12" t="s">
        <v>215</v>
      </c>
      <c r="D71" s="12" t="s">
        <v>216</v>
      </c>
      <c r="E71" s="12" t="s">
        <v>201</v>
      </c>
      <c r="F71" s="12" t="s">
        <v>84</v>
      </c>
      <c r="G71" s="12" t="s">
        <v>217</v>
      </c>
      <c r="H71" s="13"/>
      <c r="I71" s="13"/>
      <c r="J71" s="12" t="str">
        <f aca="false">IF(H71="",E71,H71)</f>
        <v>301</v>
      </c>
      <c r="K71" s="12" t="str">
        <f aca="false">IF(J71="410","",IF(J71="404","",IF(I71&lt;&gt;"",I71,F71)))</f>
        <v>/articles/</v>
      </c>
      <c r="L71" s="14"/>
      <c r="M71" s="14"/>
      <c r="N71" s="12" t="s">
        <v>46</v>
      </c>
    </row>
    <row r="72" customFormat="false" ht="15" hidden="false" customHeight="false" outlineLevel="0" collapsed="false">
      <c r="A72" s="12" t="n">
        <v>71</v>
      </c>
      <c r="B72" s="12" t="s">
        <v>198</v>
      </c>
      <c r="C72" s="12" t="s">
        <v>218</v>
      </c>
      <c r="D72" s="12" t="s">
        <v>219</v>
      </c>
      <c r="E72" s="12" t="s">
        <v>201</v>
      </c>
      <c r="F72" s="12" t="s">
        <v>84</v>
      </c>
      <c r="G72" s="12" t="s">
        <v>217</v>
      </c>
      <c r="H72" s="13"/>
      <c r="I72" s="13"/>
      <c r="J72" s="12" t="str">
        <f aca="false">IF(H72="",E72,H72)</f>
        <v>301</v>
      </c>
      <c r="K72" s="12" t="str">
        <f aca="false">IF(J72="410","",IF(J72="404","",IF(I72&lt;&gt;"",I72,F72)))</f>
        <v>/articles/</v>
      </c>
      <c r="L72" s="14"/>
      <c r="M72" s="14"/>
      <c r="N72" s="12" t="s">
        <v>46</v>
      </c>
    </row>
    <row r="73" customFormat="false" ht="15" hidden="false" customHeight="false" outlineLevel="0" collapsed="false">
      <c r="A73" s="12" t="n">
        <v>72</v>
      </c>
      <c r="B73" s="12" t="s">
        <v>198</v>
      </c>
      <c r="C73" s="12" t="s">
        <v>220</v>
      </c>
      <c r="D73" s="12" t="s">
        <v>221</v>
      </c>
      <c r="E73" s="12" t="s">
        <v>201</v>
      </c>
      <c r="F73" s="12" t="s">
        <v>79</v>
      </c>
      <c r="G73" s="12" t="s">
        <v>222</v>
      </c>
      <c r="H73" s="13"/>
      <c r="I73" s="13"/>
      <c r="J73" s="12" t="str">
        <f aca="false">IF(H73="",E73,H73)</f>
        <v>301</v>
      </c>
      <c r="K73" s="12" t="str">
        <f aca="false">IF(J73="410","",IF(J73="404","",IF(I73&lt;&gt;"",I73,F73)))</f>
        <v>/about/</v>
      </c>
      <c r="L73" s="14"/>
      <c r="M73" s="14"/>
      <c r="N73" s="12" t="s">
        <v>46</v>
      </c>
    </row>
    <row r="74" customFormat="false" ht="23.85" hidden="false" customHeight="false" outlineLevel="0" collapsed="false">
      <c r="A74" s="12" t="n">
        <v>73</v>
      </c>
      <c r="B74" s="12" t="s">
        <v>198</v>
      </c>
      <c r="C74" s="12" t="s">
        <v>223</v>
      </c>
      <c r="D74" s="12" t="s">
        <v>224</v>
      </c>
      <c r="E74" s="12" t="s">
        <v>44</v>
      </c>
      <c r="F74" s="12" t="s">
        <v>225</v>
      </c>
      <c r="G74" s="12" t="s">
        <v>226</v>
      </c>
      <c r="H74" s="13"/>
      <c r="I74" s="13"/>
      <c r="J74" s="12" t="str">
        <f aca="false">IF(H74="",E74,H74)</f>
        <v>Keep</v>
      </c>
      <c r="K74" s="12" t="str">
        <f aca="false">IF(J74="410","",IF(J74="404","",IF(I74&lt;&gt;"",I74,F74)))</f>
        <v>/feed/</v>
      </c>
      <c r="L74" s="14"/>
      <c r="M74" s="14"/>
      <c r="N74" s="12" t="s">
        <v>46</v>
      </c>
    </row>
    <row r="75" customFormat="false" ht="23.85" hidden="false" customHeight="false" outlineLevel="0" collapsed="false">
      <c r="A75" s="12" t="n">
        <v>74</v>
      </c>
      <c r="B75" s="12" t="s">
        <v>198</v>
      </c>
      <c r="C75" s="12" t="s">
        <v>227</v>
      </c>
      <c r="D75" s="12" t="s">
        <v>228</v>
      </c>
      <c r="E75" s="12" t="s">
        <v>205</v>
      </c>
      <c r="F75" s="12"/>
      <c r="G75" s="12" t="s">
        <v>229</v>
      </c>
      <c r="H75" s="13"/>
      <c r="I75" s="13"/>
      <c r="J75" s="12" t="str">
        <f aca="false">IF(H75="",E75,H75)</f>
        <v>410</v>
      </c>
      <c r="K75" s="12" t="str">
        <f aca="false">IF(J75="410","",IF(J75="404","",IF(I75&lt;&gt;"",I75,F75)))</f>
        <v/>
      </c>
      <c r="L75" s="14"/>
      <c r="M75" s="14"/>
      <c r="N75" s="12" t="s">
        <v>46</v>
      </c>
    </row>
    <row r="76" customFormat="false" ht="23.85" hidden="false" customHeight="false" outlineLevel="0" collapsed="false">
      <c r="A76" s="12" t="n">
        <v>75</v>
      </c>
      <c r="B76" s="12" t="s">
        <v>198</v>
      </c>
      <c r="C76" s="12" t="s">
        <v>230</v>
      </c>
      <c r="D76" s="12" t="s">
        <v>231</v>
      </c>
      <c r="E76" s="12" t="s">
        <v>67</v>
      </c>
      <c r="F76" s="12" t="s">
        <v>230</v>
      </c>
      <c r="G76" s="12" t="s">
        <v>232</v>
      </c>
      <c r="H76" s="13"/>
      <c r="I76" s="13"/>
      <c r="J76" s="12" t="str">
        <f aca="false">IF(H76="",E76,H76)</f>
        <v>Decide</v>
      </c>
      <c r="K76" s="12" t="str">
        <f aca="false">IF(J76="410","",IF(J76="404","",IF(I76&lt;&gt;"",I76,F76)))</f>
        <v>/wp-content/uploads/*</v>
      </c>
      <c r="L76" s="14"/>
      <c r="M76" s="14"/>
      <c r="N76" s="12" t="s">
        <v>46</v>
      </c>
    </row>
    <row r="77" customFormat="false" ht="15" hidden="false" customHeight="false" outlineLevel="0" collapsed="false">
      <c r="A77" s="12" t="n">
        <v>76</v>
      </c>
      <c r="B77" s="12" t="s">
        <v>198</v>
      </c>
      <c r="C77" s="12" t="s">
        <v>233</v>
      </c>
      <c r="D77" s="12" t="s">
        <v>234</v>
      </c>
      <c r="E77" s="12" t="s">
        <v>44</v>
      </c>
      <c r="F77" s="12" t="s">
        <v>233</v>
      </c>
      <c r="G77" s="12" t="s">
        <v>235</v>
      </c>
      <c r="H77" s="13"/>
      <c r="I77" s="13"/>
      <c r="J77" s="12" t="str">
        <f aca="false">IF(H77="",E77,H77)</f>
        <v>Keep</v>
      </c>
      <c r="K77" s="12" t="str">
        <f aca="false">IF(J77="410","",IF(J77="404","",IF(I77&lt;&gt;"",I77,F77)))</f>
        <v>/sitemap.xml</v>
      </c>
      <c r="L77" s="14"/>
      <c r="M77" s="14"/>
      <c r="N77" s="12" t="s">
        <v>46</v>
      </c>
    </row>
    <row r="78" customFormat="false" ht="15" hidden="false" customHeight="false" outlineLevel="0" collapsed="false">
      <c r="A78" s="12" t="n">
        <v>77</v>
      </c>
      <c r="B78" s="12" t="s">
        <v>198</v>
      </c>
      <c r="C78" s="12" t="s">
        <v>236</v>
      </c>
      <c r="D78" s="12" t="s">
        <v>237</v>
      </c>
      <c r="E78" s="12" t="s">
        <v>44</v>
      </c>
      <c r="F78" s="12" t="s">
        <v>236</v>
      </c>
      <c r="G78" s="12" t="s">
        <v>238</v>
      </c>
      <c r="H78" s="13"/>
      <c r="I78" s="13"/>
      <c r="J78" s="12" t="str">
        <f aca="false">IF(H78="",E78,H78)</f>
        <v>Keep</v>
      </c>
      <c r="K78" s="12" t="str">
        <f aca="false">IF(J78="410","",IF(J78="404","",IF(I78&lt;&gt;"",I78,F78)))</f>
        <v>/robots.txt</v>
      </c>
      <c r="L78" s="14"/>
      <c r="M78" s="14"/>
      <c r="N78" s="12" t="s">
        <v>46</v>
      </c>
    </row>
    <row r="79" customFormat="false" ht="15" hidden="false" customHeight="false" outlineLevel="0" collapsed="false">
      <c r="A79" s="12" t="n">
        <v>78</v>
      </c>
      <c r="B79" s="12" t="s">
        <v>198</v>
      </c>
      <c r="C79" s="12" t="s">
        <v>239</v>
      </c>
      <c r="D79" s="12" t="s">
        <v>240</v>
      </c>
      <c r="E79" s="12" t="s">
        <v>241</v>
      </c>
      <c r="F79" s="12"/>
      <c r="G79" s="12" t="s">
        <v>242</v>
      </c>
      <c r="H79" s="13"/>
      <c r="I79" s="13"/>
      <c r="J79" s="12" t="str">
        <f aca="false">IF(H79="",E79,H79)</f>
        <v>404</v>
      </c>
      <c r="K79" s="12" t="str">
        <f aca="false">IF(J79="410","",IF(J79="404","",IF(I79&lt;&gt;"",I79,F79)))</f>
        <v/>
      </c>
      <c r="L79" s="14"/>
      <c r="M79" s="14"/>
      <c r="N79" s="12" t="s">
        <v>46</v>
      </c>
    </row>
    <row r="80" customFormat="false" ht="15" hidden="false" customHeight="false" outlineLevel="0" collapsed="false">
      <c r="A80" s="12" t="n">
        <v>79</v>
      </c>
      <c r="B80" s="12" t="s">
        <v>243</v>
      </c>
      <c r="C80" s="12" t="s">
        <v>244</v>
      </c>
      <c r="D80" s="12" t="s">
        <v>245</v>
      </c>
      <c r="E80" s="12" t="s">
        <v>201</v>
      </c>
      <c r="F80" s="12" t="s">
        <v>246</v>
      </c>
      <c r="G80" s="12" t="s">
        <v>247</v>
      </c>
      <c r="H80" s="13"/>
      <c r="I80" s="13"/>
      <c r="J80" s="12" t="str">
        <f aca="false">IF(H80="",E80,H80)</f>
        <v>301</v>
      </c>
      <c r="K80" s="12" t="str">
        <f aca="false">IF(J80="410","",IF(J80="404","",IF(I80&lt;&gt;"",I80,F80)))</f>
        <v>https://anthonyis.uk/</v>
      </c>
      <c r="L80" s="14"/>
      <c r="M80" s="14"/>
      <c r="N80" s="12" t="s">
        <v>46</v>
      </c>
    </row>
    <row r="81" customFormat="false" ht="15" hidden="false" customHeight="false" outlineLevel="0" collapsed="false">
      <c r="A81" s="12" t="n">
        <v>80</v>
      </c>
      <c r="B81" s="12" t="s">
        <v>243</v>
      </c>
      <c r="C81" s="12" t="s">
        <v>248</v>
      </c>
      <c r="D81" s="12" t="s">
        <v>249</v>
      </c>
      <c r="E81" s="12" t="s">
        <v>201</v>
      </c>
      <c r="F81" s="12" t="s">
        <v>250</v>
      </c>
      <c r="G81" s="12" t="s">
        <v>251</v>
      </c>
      <c r="H81" s="13"/>
      <c r="I81" s="13"/>
      <c r="J81" s="12" t="str">
        <f aca="false">IF(H81="",E81,H81)</f>
        <v>301</v>
      </c>
      <c r="K81" s="12" t="str">
        <f aca="false">IF(J81="410","",IF(J81="404","",IF(I81&lt;&gt;"",I81,F81)))</f>
        <v>Same path with trailing slash</v>
      </c>
      <c r="L81" s="14"/>
      <c r="M81" s="14"/>
      <c r="N81" s="12" t="s">
        <v>46</v>
      </c>
    </row>
    <row r="82" customFormat="false" ht="23.85" hidden="false" customHeight="false" outlineLevel="0" collapsed="false">
      <c r="A82" s="12" t="n">
        <v>81</v>
      </c>
      <c r="B82" s="12" t="s">
        <v>252</v>
      </c>
      <c r="C82" s="12" t="s">
        <v>253</v>
      </c>
      <c r="D82" s="12" t="s">
        <v>254</v>
      </c>
      <c r="E82" s="12" t="s">
        <v>201</v>
      </c>
      <c r="F82" s="12" t="s">
        <v>79</v>
      </c>
      <c r="G82" s="12" t="s">
        <v>255</v>
      </c>
      <c r="H82" s="13"/>
      <c r="I82" s="13"/>
      <c r="J82" s="12" t="str">
        <f aca="false">IF(H82="",E82,H82)</f>
        <v>301</v>
      </c>
      <c r="K82" s="12" t="str">
        <f aca="false">IF(J82="410","",IF(J82="404","",IF(I82&lt;&gt;"",I82,F82)))</f>
        <v>/about/</v>
      </c>
      <c r="L82" s="14"/>
      <c r="M82" s="14"/>
      <c r="N82" s="12" t="s">
        <v>256</v>
      </c>
    </row>
    <row r="83" customFormat="false" ht="23.85" hidden="false" customHeight="false" outlineLevel="0" collapsed="false">
      <c r="A83" s="12" t="n">
        <v>82</v>
      </c>
      <c r="B83" s="12" t="s">
        <v>252</v>
      </c>
      <c r="C83" s="12" t="s">
        <v>257</v>
      </c>
      <c r="D83" s="12" t="s">
        <v>258</v>
      </c>
      <c r="E83" s="12" t="s">
        <v>201</v>
      </c>
      <c r="F83" s="12" t="s">
        <v>84</v>
      </c>
      <c r="G83" s="12" t="s">
        <v>259</v>
      </c>
      <c r="H83" s="13"/>
      <c r="I83" s="13"/>
      <c r="J83" s="12" t="str">
        <f aca="false">IF(H83="",E83,H83)</f>
        <v>301</v>
      </c>
      <c r="K83" s="12" t="str">
        <f aca="false">IF(J83="410","",IF(J83="404","",IF(I83&lt;&gt;"",I83,F83)))</f>
        <v>/articles/</v>
      </c>
      <c r="L83" s="14"/>
      <c r="M83" s="14"/>
      <c r="N83" s="12" t="s">
        <v>256</v>
      </c>
    </row>
    <row r="84" customFormat="false" ht="15" hidden="false" customHeight="false" outlineLevel="0" collapsed="false">
      <c r="A84" s="12" t="n">
        <v>83</v>
      </c>
      <c r="B84" s="12" t="s">
        <v>252</v>
      </c>
      <c r="C84" s="12" t="s">
        <v>260</v>
      </c>
      <c r="D84" s="12" t="s">
        <v>258</v>
      </c>
      <c r="E84" s="12" t="s">
        <v>201</v>
      </c>
      <c r="F84" s="12" t="s">
        <v>84</v>
      </c>
      <c r="G84" s="12" t="s">
        <v>176</v>
      </c>
      <c r="H84" s="13"/>
      <c r="I84" s="13"/>
      <c r="J84" s="12" t="str">
        <f aca="false">IF(H84="",E84,H84)</f>
        <v>301</v>
      </c>
      <c r="K84" s="12" t="str">
        <f aca="false">IF(J84="410","",IF(J84="404","",IF(I84&lt;&gt;"",I84,F84)))</f>
        <v>/articles/</v>
      </c>
      <c r="L84" s="14"/>
      <c r="M84" s="14"/>
      <c r="N84" s="12" t="s">
        <v>256</v>
      </c>
    </row>
    <row r="85" customFormat="false" ht="15" hidden="false" customHeight="false" outlineLevel="0" collapsed="false">
      <c r="A85" s="12" t="n">
        <v>84</v>
      </c>
      <c r="B85" s="12" t="s">
        <v>252</v>
      </c>
      <c r="C85" s="12" t="s">
        <v>261</v>
      </c>
      <c r="D85" s="12" t="s">
        <v>258</v>
      </c>
      <c r="E85" s="12" t="s">
        <v>201</v>
      </c>
      <c r="F85" s="12" t="s">
        <v>84</v>
      </c>
      <c r="G85" s="12" t="s">
        <v>176</v>
      </c>
      <c r="H85" s="13"/>
      <c r="I85" s="13"/>
      <c r="J85" s="12" t="str">
        <f aca="false">IF(H85="",E85,H85)</f>
        <v>301</v>
      </c>
      <c r="K85" s="12" t="str">
        <f aca="false">IF(J85="410","",IF(J85="404","",IF(I85&lt;&gt;"",I85,F85)))</f>
        <v>/articles/</v>
      </c>
      <c r="L85" s="14"/>
      <c r="M85" s="14"/>
      <c r="N85" s="12" t="s">
        <v>256</v>
      </c>
    </row>
    <row r="86" customFormat="false" ht="23.85" hidden="false" customHeight="false" outlineLevel="0" collapsed="false">
      <c r="A86" s="12" t="n">
        <v>85</v>
      </c>
      <c r="B86" s="12" t="s">
        <v>91</v>
      </c>
      <c r="C86" s="12" t="s">
        <v>262</v>
      </c>
      <c r="D86" s="12" t="s">
        <v>263</v>
      </c>
      <c r="E86" s="12" t="s">
        <v>201</v>
      </c>
      <c r="F86" s="12" t="s">
        <v>107</v>
      </c>
      <c r="G86" s="12" t="s">
        <v>264</v>
      </c>
      <c r="H86" s="13"/>
      <c r="I86" s="13"/>
      <c r="J86" s="12" t="str">
        <f aca="false">IF(H86="",E86,H86)</f>
        <v>301</v>
      </c>
      <c r="K86" s="12" t="str">
        <f aca="false">IF(J86="410","",IF(J86="404","",IF(I86&lt;&gt;"",I86,F86)))</f>
        <v>/articles/25-biggest-brands-using-shopify-in-2025/</v>
      </c>
      <c r="L86" s="14"/>
      <c r="M86" s="14"/>
      <c r="N86" s="12" t="s">
        <v>256</v>
      </c>
    </row>
    <row r="87" customFormat="false" ht="35.05" hidden="false" customHeight="false" outlineLevel="0" collapsed="false">
      <c r="A87" s="12" t="n">
        <v>86</v>
      </c>
      <c r="B87" s="12" t="s">
        <v>91</v>
      </c>
      <c r="C87" s="12" t="s">
        <v>98</v>
      </c>
      <c r="D87" s="12" t="s">
        <v>265</v>
      </c>
      <c r="E87" s="12" t="s">
        <v>67</v>
      </c>
      <c r="F87" s="12" t="s">
        <v>266</v>
      </c>
      <c r="G87" s="12" t="s">
        <v>267</v>
      </c>
      <c r="H87" s="13"/>
      <c r="I87" s="13"/>
      <c r="J87" s="12" t="str">
        <f aca="false">IF(H87="",E87,H87)</f>
        <v>Decide</v>
      </c>
      <c r="K87" s="12" t="str">
        <f aca="false">IF(J87="410","",IF(J87="404","",IF(I87&lt;&gt;"",I87,F87)))</f>
        <v>/articles/voice-search-optimisation-for-shopify-stores/</v>
      </c>
      <c r="L87" s="14"/>
      <c r="M87" s="14"/>
      <c r="N87" s="12" t="s">
        <v>256</v>
      </c>
    </row>
    <row r="88" customFormat="false" ht="23.85" hidden="false" customHeight="false" outlineLevel="0" collapsed="false">
      <c r="A88" s="12" t="n">
        <v>87</v>
      </c>
      <c r="B88" s="12" t="s">
        <v>91</v>
      </c>
      <c r="C88" s="12" t="s">
        <v>125</v>
      </c>
      <c r="D88" s="12" t="s">
        <v>268</v>
      </c>
      <c r="E88" s="12" t="s">
        <v>67</v>
      </c>
      <c r="F88" s="12" t="s">
        <v>269</v>
      </c>
      <c r="G88" s="12" t="s">
        <v>270</v>
      </c>
      <c r="H88" s="13"/>
      <c r="I88" s="13"/>
      <c r="J88" s="12" t="str">
        <f aca="false">IF(H88="",E88,H88)</f>
        <v>Decide</v>
      </c>
      <c r="K88" s="12" t="str">
        <f aca="false">IF(J88="410","",IF(J88="404","",IF(I88&lt;&gt;"",I88,F88)))</f>
        <v>/articles/shopify-collabs-creator-marketing/</v>
      </c>
      <c r="L88" s="14"/>
      <c r="M88" s="14"/>
      <c r="N88" s="12" t="s">
        <v>256</v>
      </c>
    </row>
    <row r="89" customFormat="false" ht="23.85" hidden="false" customHeight="false" outlineLevel="0" collapsed="false">
      <c r="A89" s="12" t="n">
        <v>88</v>
      </c>
      <c r="B89" s="12" t="s">
        <v>91</v>
      </c>
      <c r="C89" s="12" t="s">
        <v>121</v>
      </c>
      <c r="D89" s="12" t="s">
        <v>271</v>
      </c>
      <c r="E89" s="12" t="s">
        <v>67</v>
      </c>
      <c r="F89" s="12" t="s">
        <v>272</v>
      </c>
      <c r="G89" s="12" t="s">
        <v>270</v>
      </c>
      <c r="H89" s="13"/>
      <c r="I89" s="13"/>
      <c r="J89" s="12" t="str">
        <f aca="false">IF(H89="",E89,H89)</f>
        <v>Decide</v>
      </c>
      <c r="K89" s="12" t="str">
        <f aca="false">IF(J89="410","",IF(J89="404","",IF(I89&lt;&gt;"",I89,F89)))</f>
        <v>/articles/why-off-the-shelf-shopify-themes-hold-stores-back/</v>
      </c>
      <c r="L89" s="14"/>
      <c r="M89" s="14"/>
      <c r="N89" s="12" t="s">
        <v>256</v>
      </c>
    </row>
    <row r="90" customFormat="false" ht="35.05" hidden="false" customHeight="false" outlineLevel="0" collapsed="false">
      <c r="A90" s="12" t="n">
        <v>89</v>
      </c>
      <c r="B90" s="12" t="s">
        <v>91</v>
      </c>
      <c r="C90" s="12" t="s">
        <v>137</v>
      </c>
      <c r="D90" s="12" t="s">
        <v>273</v>
      </c>
      <c r="E90" s="12" t="s">
        <v>67</v>
      </c>
      <c r="F90" s="12" t="s">
        <v>94</v>
      </c>
      <c r="G90" s="12" t="s">
        <v>274</v>
      </c>
      <c r="H90" s="13"/>
      <c r="I90" s="13"/>
      <c r="J90" s="12" t="str">
        <f aca="false">IF(H90="",E90,H90)</f>
        <v>Decide</v>
      </c>
      <c r="K90" s="12" t="str">
        <f aca="false">IF(J90="410","",IF(J90="404","",IF(I90&lt;&gt;"",I90,F90)))</f>
        <v>/articles/what-to-look-for-hiring-shopify-designer/</v>
      </c>
      <c r="L90" s="14"/>
      <c r="M90" s="14"/>
      <c r="N90" s="12" t="s">
        <v>256</v>
      </c>
    </row>
    <row r="91" customFormat="false" ht="46.25" hidden="false" customHeight="false" outlineLevel="0" collapsed="false">
      <c r="A91" s="12" t="n">
        <v>90</v>
      </c>
      <c r="B91" s="12" t="s">
        <v>275</v>
      </c>
      <c r="C91" s="12" t="s">
        <v>276</v>
      </c>
      <c r="D91" s="12" t="s">
        <v>277</v>
      </c>
      <c r="E91" s="12" t="s">
        <v>67</v>
      </c>
      <c r="F91" s="12" t="s">
        <v>278</v>
      </c>
      <c r="G91" s="12" t="s">
        <v>279</v>
      </c>
      <c r="H91" s="13"/>
      <c r="I91" s="13"/>
      <c r="J91" s="12" t="str">
        <f aca="false">IF(H91="",E91,H91)</f>
        <v>Decide</v>
      </c>
      <c r="K91" s="12" t="str">
        <f aca="false">IF(J91="410","",IF(J91="404","",IF(I91&lt;&gt;"",I91,F91)))</f>
        <v>New site's own image and video paths</v>
      </c>
      <c r="L91" s="14"/>
      <c r="M91" s="14"/>
      <c r="N91" s="12" t="s">
        <v>256</v>
      </c>
    </row>
  </sheetData>
  <autoFilter ref="A1:N91"/>
  <conditionalFormatting sqref="J2:J91">
    <cfRule type="expression" priority="2" aboveAverage="0" equalAverage="0" bottom="0" percent="0" rank="0" text="" dxfId="6">
      <formula>$J2="Decide"</formula>
    </cfRule>
  </conditionalFormatting>
  <dataValidations count="1">
    <dataValidation allowBlank="true" errorStyle="stop" operator="between" prompt="Leave blank to accept the proposal." promptTitle="Your decision" showDropDown="false" showErrorMessage="false" showInputMessage="false" sqref="H2:H91" type="list">
      <formula1>"Keep,301,410,404"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s>
  <sheetData>
    <row r="1" customFormat="false" ht="15" hidden="false" customHeight="false" outlineLevel="0" collapsed="false">
      <c r="A1" s="15" t="s">
        <v>280</v>
      </c>
      <c r="B1" s="15" t="s">
        <v>281</v>
      </c>
    </row>
    <row r="2" customFormat="false" ht="15" hidden="false" customHeight="false" outlineLevel="0" collapsed="false">
      <c r="A2" s="12" t="s">
        <v>46</v>
      </c>
      <c r="B2" s="12" t="s">
        <v>282</v>
      </c>
    </row>
    <row r="3" customFormat="false" ht="15" hidden="false" customHeight="false" outlineLevel="0" collapsed="false">
      <c r="A3" s="12" t="s">
        <v>256</v>
      </c>
      <c r="B3" s="12" t="s">
        <v>283</v>
      </c>
    </row>
    <row r="4" customFormat="false" ht="23.85" hidden="false" customHeight="false" outlineLevel="0" collapsed="false">
      <c r="A4" s="12" t="s">
        <v>256</v>
      </c>
      <c r="B4" s="12" t="s">
        <v>284</v>
      </c>
    </row>
    <row r="5" customFormat="false" ht="15" hidden="false" customHeight="false" outlineLevel="0" collapsed="false">
      <c r="A5" s="12" t="s">
        <v>256</v>
      </c>
      <c r="B5" s="12" t="s">
        <v>285</v>
      </c>
    </row>
    <row r="6" customFormat="false" ht="15" hidden="false" customHeight="false" outlineLevel="0" collapsed="false">
      <c r="A6" s="12" t="s">
        <v>256</v>
      </c>
      <c r="B6" s="12" t="s">
        <v>286</v>
      </c>
    </row>
    <row r="7" customFormat="false" ht="15" hidden="false" customHeight="false" outlineLevel="0" collapsed="false">
      <c r="A7" s="12" t="s">
        <v>256</v>
      </c>
      <c r="B7" s="12"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2026-10-23T11:23:32Z</dcterms:created>
  <dc:creator>openpyxl</dc:creator>
  <dc:description/>
  <dc:language>en-US</dc:language>
  <cp:lastModifiedBy/>
  <dcterms:modified xsi:type="dcterms:W3CDTF">2026-10-23T11:23:33Z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